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'Página1'!$A$1:$R$300</definedName>
  </definedNames>
  <calcPr/>
</workbook>
</file>

<file path=xl/sharedStrings.xml><?xml version="1.0" encoding="utf-8"?>
<sst xmlns="http://schemas.openxmlformats.org/spreadsheetml/2006/main" count="2899" uniqueCount="282">
  <si>
    <t>product_id</t>
  </si>
  <si>
    <t>product_name</t>
  </si>
  <si>
    <t>package_size</t>
  </si>
  <si>
    <t>brand</t>
  </si>
  <si>
    <t>private_label</t>
  </si>
  <si>
    <t>comparability_flag</t>
  </si>
  <si>
    <t>comparability_note</t>
  </si>
  <si>
    <t>category</t>
  </si>
  <si>
    <t>chain</t>
  </si>
  <si>
    <t>price_eur</t>
  </si>
  <si>
    <t>unit</t>
  </si>
  <si>
    <t>price_per_unit</t>
  </si>
  <si>
    <t>display_unit</t>
  </si>
  <si>
    <t>uses</t>
  </si>
  <si>
    <t>cost_per_use</t>
  </si>
  <si>
    <t>date</t>
  </si>
  <si>
    <t>data_source</t>
  </si>
  <si>
    <t>data_note</t>
  </si>
  <si>
    <t>dairy_milk_whole_1L</t>
  </si>
  <si>
    <t>Leche entera</t>
  </si>
  <si>
    <t>1L</t>
  </si>
  <si>
    <t>Hacendado</t>
  </si>
  <si>
    <t>yes</t>
  </si>
  <si>
    <t>comparable</t>
  </si>
  <si>
    <t>dairy</t>
  </si>
  <si>
    <t>Mercadona</t>
  </si>
  <si>
    <t>L</t>
  </si>
  <si>
    <t>€/L</t>
  </si>
  <si>
    <t>website</t>
  </si>
  <si>
    <t>dairy_milk_semi_1L</t>
  </si>
  <si>
    <t>Leche semidesnatada</t>
  </si>
  <si>
    <t>dairy_yogurt_greek_1kg</t>
  </si>
  <si>
    <t>Yogur griego natural</t>
  </si>
  <si>
    <t>1kg</t>
  </si>
  <si>
    <t>kg</t>
  </si>
  <si>
    <t>€/kg</t>
  </si>
  <si>
    <t>dairy_yogurt_natural_pack_125g</t>
  </si>
  <si>
    <t>Yogur natural</t>
  </si>
  <si>
    <t>6x125g</t>
  </si>
  <si>
    <t>dairy_yogurt_natural_pack_120g_branded</t>
  </si>
  <si>
    <t>Yogur natural Danone</t>
  </si>
  <si>
    <t>8x120g</t>
  </si>
  <si>
    <t>Danone</t>
  </si>
  <si>
    <t>no</t>
  </si>
  <si>
    <t>dairy_cheese_sliced_approx_200g</t>
  </si>
  <si>
    <t xml:space="preserve">Queso lonchas gouda de vaca </t>
  </si>
  <si>
    <t>300g</t>
  </si>
  <si>
    <t>dairy_cheese_grated_200g</t>
  </si>
  <si>
    <t>Queso rallado emmental gratinar</t>
  </si>
  <si>
    <t>200g</t>
  </si>
  <si>
    <t>breakfast_cereals_cornflakes_500g</t>
  </si>
  <si>
    <t>Cereales copos de maíz Corn Flakes 0% azúcares añadidos</t>
  </si>
  <si>
    <t>500g</t>
  </si>
  <si>
    <t>breakfast</t>
  </si>
  <si>
    <t>breakfast_cereals_cornflakes_500g_branded</t>
  </si>
  <si>
    <t>Cereales copos de maíz Corn Flakes</t>
  </si>
  <si>
    <t>Kellogg's</t>
  </si>
  <si>
    <t>breakfast_cereals_chocolate_approx_500g</t>
  </si>
  <si>
    <t>Cereales copos de trigo Chocodays con chocolate</t>
  </si>
  <si>
    <t>breakfast_juice_orange_not_from_concentrate_1L</t>
  </si>
  <si>
    <t>Zumo de naranja recién exprimido</t>
  </si>
  <si>
    <t>In-store</t>
  </si>
  <si>
    <t>breakfast_juice_orange_from_concentrate_1L</t>
  </si>
  <si>
    <t>Zumo pura naranja</t>
  </si>
  <si>
    <t>breakfast_coffee_ground_approx_250g</t>
  </si>
  <si>
    <t>Café molido natural</t>
  </si>
  <si>
    <t>250g</t>
  </si>
  <si>
    <t>breakfast_coffee_capsules_with_milk_16</t>
  </si>
  <si>
    <t>Café con leche en cápsula</t>
  </si>
  <si>
    <t>16u</t>
  </si>
  <si>
    <t>€/unit</t>
  </si>
  <si>
    <t>cleaning_dishwasher_tablets_approx_30u</t>
  </si>
  <si>
    <t>Lavavajillas Todo en 1 en pastillas</t>
  </si>
  <si>
    <t>30u</t>
  </si>
  <si>
    <t>Bosque Verde</t>
  </si>
  <si>
    <t>cleaning</t>
  </si>
  <si>
    <t>cleaning_dishwasher_tablets_approx_30u_branded</t>
  </si>
  <si>
    <t>35u</t>
  </si>
  <si>
    <t>Fairy</t>
  </si>
  <si>
    <t>cleaning_dishwasher_gel_approx_750ml</t>
  </si>
  <si>
    <t>Lavavajillas en gel</t>
  </si>
  <si>
    <t>720mL</t>
  </si>
  <si>
    <t>cleaning_laundry_liquid_approx_3L</t>
  </si>
  <si>
    <t>Detergente ropa jabón natural de Marsella líquido</t>
  </si>
  <si>
    <t>3L</t>
  </si>
  <si>
    <t>cleaning_laundry_capsules_approx_25u</t>
  </si>
  <si>
    <t>Detergente ropa Blanca y de Color floral sensation en cápsulas</t>
  </si>
  <si>
    <t>24u</t>
  </si>
  <si>
    <t>fresh_eggs_size_M_12u</t>
  </si>
  <si>
    <t>Huevos medianos M</t>
  </si>
  <si>
    <t>12u</t>
  </si>
  <si>
    <t>fresh produce</t>
  </si>
  <si>
    <t>fresh_eggs_size_L_12u</t>
  </si>
  <si>
    <t>Huevos grandes L</t>
  </si>
  <si>
    <t>fresh_eggs_free_range_approx_12u</t>
  </si>
  <si>
    <t>Huevos de gallinas camperas</t>
  </si>
  <si>
    <t>fresh_chicken_breast_approx_500g</t>
  </si>
  <si>
    <t>Pechugas enteras de pollo</t>
  </si>
  <si>
    <t>~500g</t>
  </si>
  <si>
    <t>fresh_bananas_kg</t>
  </si>
  <si>
    <t>Banana</t>
  </si>
  <si>
    <t>Unbranded</t>
  </si>
  <si>
    <t>snacks_crisps_salted_300g</t>
  </si>
  <si>
    <t>Patatas fritas clásicas</t>
  </si>
  <si>
    <t>snacks</t>
  </si>
  <si>
    <t>snacks_crisps_ham_approx_150g</t>
  </si>
  <si>
    <t>Patatas fritas onduladas sabor jamón serrano</t>
  </si>
  <si>
    <t>150g</t>
  </si>
  <si>
    <t>snacks_biscuits_digestive_approx_400_800g</t>
  </si>
  <si>
    <t>Galletas Digestive</t>
  </si>
  <si>
    <t>800g</t>
  </si>
  <si>
    <t>snacks_biscuits_cookies_approx_200g</t>
  </si>
  <si>
    <t>Galletas Cookies</t>
  </si>
  <si>
    <t>225g</t>
  </si>
  <si>
    <t>snacks_chocolate_milk_approx_100g</t>
  </si>
  <si>
    <t>Chocolate con leche classic extrafino</t>
  </si>
  <si>
    <t>125g</t>
  </si>
  <si>
    <t>snacks_chocolate_dark_85_100g</t>
  </si>
  <si>
    <t>Chocolate negro 85% cacao</t>
  </si>
  <si>
    <t>100g</t>
  </si>
  <si>
    <t>Leche Entera Brik</t>
  </si>
  <si>
    <t>Consum</t>
  </si>
  <si>
    <t>Leche semidesnatada Brik</t>
  </si>
  <si>
    <t>Yogur Griego Natural</t>
  </si>
  <si>
    <t>Yogur Natural Pack</t>
  </si>
  <si>
    <t>4x125g</t>
  </si>
  <si>
    <t>Queso Gouda Tierno Lonchas</t>
  </si>
  <si>
    <t>Royal Orange</t>
  </si>
  <si>
    <t>gouda tierno vs standard gouda</t>
  </si>
  <si>
    <t>Queso Rallado Emmental</t>
  </si>
  <si>
    <t>Copos de Maíz</t>
  </si>
  <si>
    <t>Cereales Corn Flakes</t>
  </si>
  <si>
    <t>Cereales Chocapic</t>
  </si>
  <si>
    <t>625g</t>
  </si>
  <si>
    <t>Nestle</t>
  </si>
  <si>
    <t>not_comparable</t>
  </si>
  <si>
    <t>no private label available, branded substitute used</t>
  </si>
  <si>
    <t>Zumo Recién Exprimido de Naranja</t>
  </si>
  <si>
    <t>Zumo Exprimido Naranja Sin pulpa Brik</t>
  </si>
  <si>
    <t>Café Molido Natural</t>
  </si>
  <si>
    <t>Café con Leche Cápsulas</t>
  </si>
  <si>
    <t>Dolce Gusto</t>
  </si>
  <si>
    <t>Pastillas Lavavajillas Todo en 1</t>
  </si>
  <si>
    <t>Pastillas Lavavajillas Original</t>
  </si>
  <si>
    <t>29u</t>
  </si>
  <si>
    <t>Lavavajillas en Gel Todo en 1</t>
  </si>
  <si>
    <t>Detergente Líquido Marsella</t>
  </si>
  <si>
    <t>2,6L</t>
  </si>
  <si>
    <t>product format changed</t>
  </si>
  <si>
    <t>Detergente Cápsulas Active</t>
  </si>
  <si>
    <t>Huevos M Medianos</t>
  </si>
  <si>
    <t>Monterde</t>
  </si>
  <si>
    <t>Huevos L Grandes</t>
  </si>
  <si>
    <t>Huevo Campero M</t>
  </si>
  <si>
    <t>10u</t>
  </si>
  <si>
    <t>10-unit pack vs standard 12-unit</t>
  </si>
  <si>
    <t>Pechuga de Pollo Bandeja</t>
  </si>
  <si>
    <t>~600g</t>
  </si>
  <si>
    <t>Patatas Fritas Lisas Bolsa Papel</t>
  </si>
  <si>
    <t>2x150g</t>
  </si>
  <si>
    <t>snacks_crisps_salted_248g_branded</t>
  </si>
  <si>
    <t>Patatas Fritas Lisas al Punto de Sal</t>
  </si>
  <si>
    <t>248g</t>
  </si>
  <si>
    <t>Lay's</t>
  </si>
  <si>
    <t>Patatas Sabor Jamón Bolsa</t>
  </si>
  <si>
    <t>Galletas Cookies con Pepitas de Chocolate</t>
  </si>
  <si>
    <t>Chocolate con Leche</t>
  </si>
  <si>
    <t>Chocolate Negro 85% Cacao</t>
  </si>
  <si>
    <t>Leche entera brik</t>
  </si>
  <si>
    <t>Carrefour</t>
  </si>
  <si>
    <t>Leche semidesnatada brik</t>
  </si>
  <si>
    <t>Carrefour Extra</t>
  </si>
  <si>
    <t>Yogur natural pack</t>
  </si>
  <si>
    <t>Carrefour Classic</t>
  </si>
  <si>
    <t xml:space="preserve">Queso gouda tierno en lochas </t>
  </si>
  <si>
    <t>Queso rallado emmental</t>
  </si>
  <si>
    <t>Cereales de maíz sin azúcar añadido Corn Flakes</t>
  </si>
  <si>
    <t>Copos de cereales chocolateados</t>
  </si>
  <si>
    <t>Carrefour Kids</t>
  </si>
  <si>
    <t>Zumo de naranja brik</t>
  </si>
  <si>
    <t>Café con leche en cápsulas compatible con Dolce Gusto</t>
  </si>
  <si>
    <t>Lavavajillas a máquina en pastillas</t>
  </si>
  <si>
    <t>40u</t>
  </si>
  <si>
    <t>Carrefour Expert</t>
  </si>
  <si>
    <t>Lavavajillas a máquina platinum plus pastillas todo en uno</t>
  </si>
  <si>
    <t>Gel para lavavajillas todo en 1</t>
  </si>
  <si>
    <t>900mL</t>
  </si>
  <si>
    <t>Detergente liquido delicado Marsella</t>
  </si>
  <si>
    <t>2,2L</t>
  </si>
  <si>
    <t>Detergente en cápsulas jabón de Marsella y flores de naranjo</t>
  </si>
  <si>
    <t>Carrefour Essential</t>
  </si>
  <si>
    <t>Huevos Frescos L</t>
  </si>
  <si>
    <t>Carrefour El Mercado</t>
  </si>
  <si>
    <t>Huevos Camperos Círculo de Calidad</t>
  </si>
  <si>
    <t>Pechuga de pollo</t>
  </si>
  <si>
    <t>Banana a graneL</t>
  </si>
  <si>
    <t>Patatas fritas churrería en aceite de girasol</t>
  </si>
  <si>
    <t>Patatas fritas al punto de sal sin gluten</t>
  </si>
  <si>
    <t>Patatas fritas sabor jamón serrano</t>
  </si>
  <si>
    <t>Carrefour Sensation</t>
  </si>
  <si>
    <t>Cookies con pepitas de chocolate</t>
  </si>
  <si>
    <t>Chocolate con leche sin gluten</t>
  </si>
  <si>
    <t>Chocolate negro intenso 85% cacao sin gluten</t>
  </si>
  <si>
    <t>Carrefour Selection</t>
  </si>
  <si>
    <t>Dia Láctea</t>
  </si>
  <si>
    <t>Dia</t>
  </si>
  <si>
    <t>Yogur griego vaso</t>
  </si>
  <si>
    <t>Dia Fidias</t>
  </si>
  <si>
    <t>8x125g</t>
  </si>
  <si>
    <t>4x120g</t>
  </si>
  <si>
    <t>Queso gouda</t>
  </si>
  <si>
    <t>240g</t>
  </si>
  <si>
    <t>Dia Selección Mundial</t>
  </si>
  <si>
    <t>Queso emmental rallado</t>
  </si>
  <si>
    <t>Cereales copos de maíz corn flakes</t>
  </si>
  <si>
    <t>Gran Dia</t>
  </si>
  <si>
    <t>Cereales de pétalos de trigo y chocolate</t>
  </si>
  <si>
    <t>Zumo de naranja sin pulpa</t>
  </si>
  <si>
    <t>Dia Saborfera</t>
  </si>
  <si>
    <t>2x250g</t>
  </si>
  <si>
    <t>Dia Cafetería</t>
  </si>
  <si>
    <t>Cápsulas de café con leche</t>
  </si>
  <si>
    <t>Pastillas lavavajillas</t>
  </si>
  <si>
    <t>Dia Super Paco</t>
  </si>
  <si>
    <t>Pastillas lavavajillas platinium</t>
  </si>
  <si>
    <t>Gel para lavavajillas</t>
  </si>
  <si>
    <t>648mL</t>
  </si>
  <si>
    <t>Detergente líquido marsella</t>
  </si>
  <si>
    <t>2,99L</t>
  </si>
  <si>
    <t>Detergente en cápsulas floral</t>
  </si>
  <si>
    <t>20u</t>
  </si>
  <si>
    <t>Huevos medianos M de gallinas criadas en suelo</t>
  </si>
  <si>
    <t>Huevos grandes L de gallinas criadas en suelo</t>
  </si>
  <si>
    <t>Huevos camperos medianos/grandes</t>
  </si>
  <si>
    <t>~700g</t>
  </si>
  <si>
    <t>Selección de Dia</t>
  </si>
  <si>
    <t>Banana granel</t>
  </si>
  <si>
    <t>Patatas fritas artesanas</t>
  </si>
  <si>
    <t>Dia Snack Maniac</t>
  </si>
  <si>
    <t>Lay's al punto de sal</t>
  </si>
  <si>
    <t>Patatas fritas onduladas sabor jamón</t>
  </si>
  <si>
    <t>170g</t>
  </si>
  <si>
    <t>Galletas digestive paquete</t>
  </si>
  <si>
    <t>400g</t>
  </si>
  <si>
    <t>Galleteca de Dia</t>
  </si>
  <si>
    <t>Galletas con pepitas de chocolate bolsa</t>
  </si>
  <si>
    <t>Chocolate con leche</t>
  </si>
  <si>
    <t>Dia Temptation</t>
  </si>
  <si>
    <t>Auchan</t>
  </si>
  <si>
    <t>Alcampo</t>
  </si>
  <si>
    <t>Yogur estilo griego natural</t>
  </si>
  <si>
    <t>Yogur natural elaborado con fermentos naturales</t>
  </si>
  <si>
    <t>Queso en lonchas Gouda</t>
  </si>
  <si>
    <t>Queso rallado Emmental</t>
  </si>
  <si>
    <t>Copos tostados de maíz</t>
  </si>
  <si>
    <t>Cereales copos de maíz natural</t>
  </si>
  <si>
    <t>Cereales de trigo integral, trigo y maíz, con chocolate</t>
  </si>
  <si>
    <t>375g</t>
  </si>
  <si>
    <t>Zumo de naranja 100% exprimido sin pulpa</t>
  </si>
  <si>
    <t>Café molido natural Tradition</t>
  </si>
  <si>
    <t>Café con leche en capsulas compatible con dolce gusto</t>
  </si>
  <si>
    <t>Detergente para lavavajillas para máquinas, frescor Todo en 1</t>
  </si>
  <si>
    <t>45u</t>
  </si>
  <si>
    <t>Lavavajillas en gel para máquinas, Todo en 1</t>
  </si>
  <si>
    <t xml:space="preserve">Detergente líquido Jabón de Marsella </t>
  </si>
  <si>
    <t>2,97L</t>
  </si>
  <si>
    <t xml:space="preserve">Detergente en cápsulas con jabón de Marsella </t>
  </si>
  <si>
    <t xml:space="preserve">Huevos de gallinas sueltas en el gallinero clase M </t>
  </si>
  <si>
    <t xml:space="preserve">Huevos de gallinas sueltas en el gallinero clase L </t>
  </si>
  <si>
    <t xml:space="preserve">Huevos de gallinas camperas clase L </t>
  </si>
  <si>
    <t xml:space="preserve">Pechuga de pollo entera </t>
  </si>
  <si>
    <t xml:space="preserve">Patatas fritas artesanas en aceite girasol </t>
  </si>
  <si>
    <t>Anizvi</t>
  </si>
  <si>
    <t>Patatas fritas lisas con sal de bolsa</t>
  </si>
  <si>
    <t xml:space="preserve">Patatas fritas onduladas con sabor jamón </t>
  </si>
  <si>
    <t>160g</t>
  </si>
  <si>
    <t xml:space="preserve">Galletas digestive de trigo </t>
  </si>
  <si>
    <t xml:space="preserve">Galletas cookies con maxi pepitas de chocolate </t>
  </si>
  <si>
    <t>184g</t>
  </si>
  <si>
    <t xml:space="preserve">Tableta de chocolate con leche </t>
  </si>
  <si>
    <t xml:space="preserve">Chocolate negro 85% cacao tableta </t>
  </si>
  <si>
    <t>product format changed (52 → 60 washes)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</si>
</sst>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300" displayName="Dataset_markets" name="Dataset_markets" id="1">
  <autoFilter ref="$A$1:$R$300"/>
  <tableColumns count="18">
    <tableColumn name="product_id" id="1"/>
    <tableColumn name="product_name" id="2"/>
    <tableColumn name="package_size" id="3"/>
    <tableColumn name="brand" id="4"/>
    <tableColumn name="private_label" id="5"/>
    <tableColumn name="comparability_flag" id="6"/>
    <tableColumn name="comparability_note" id="7"/>
    <tableColumn name="category" id="8"/>
    <tableColumn name="chain" id="9"/>
    <tableColumn name="price_eur" id="10"/>
    <tableColumn name="unit" id="11"/>
    <tableColumn name="price_per_unit" id="12"/>
    <tableColumn name="display_unit" id="13"/>
    <tableColumn name="uses" id="14"/>
    <tableColumn name="cost_per_use" id="15"/>
    <tableColumn name="date" id="16"/>
    <tableColumn name="data_source" id="17"/>
    <tableColumn name="data_note" id="1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63"/>
    <col customWidth="1" min="2" max="2" width="48.5"/>
    <col customWidth="1" min="3" max="3" width="15.5"/>
    <col customWidth="1" min="4" max="4" width="18.63"/>
    <col customWidth="1" min="5" max="5" width="18.13"/>
    <col customWidth="1" min="6" max="6" width="22.38"/>
    <col customWidth="1" min="7" max="7" width="39.13"/>
    <col customWidth="1" min="8" max="8" width="16.13"/>
    <col customWidth="1" min="9" max="9" width="14.25"/>
    <col customWidth="1" min="10" max="10" width="12.25"/>
    <col customWidth="1" min="11" max="11" width="8.25"/>
    <col customWidth="1" min="12" max="12" width="15.88"/>
    <col customWidth="1" min="13" max="13" width="14.25"/>
    <col customWidth="1" min="14" max="14" width="9.0"/>
    <col customWidth="1" min="15" max="15" width="15.25"/>
    <col customWidth="1" min="16" max="16" width="11.13"/>
    <col customWidth="1" min="17" max="17" width="17.88"/>
    <col customWidth="1" min="18" max="18" width="34.1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2.5" customHeight="1">
      <c r="A2" s="3" t="s">
        <v>18</v>
      </c>
      <c r="B2" s="4" t="s">
        <v>19</v>
      </c>
      <c r="C2" s="4" t="s">
        <v>20</v>
      </c>
      <c r="D2" s="4" t="s">
        <v>21</v>
      </c>
      <c r="E2" s="3" t="s">
        <v>22</v>
      </c>
      <c r="F2" s="3" t="s">
        <v>23</v>
      </c>
      <c r="G2" s="5"/>
      <c r="H2" s="3" t="s">
        <v>24</v>
      </c>
      <c r="I2" s="3" t="s">
        <v>25</v>
      </c>
      <c r="J2" s="6">
        <v>0.96</v>
      </c>
      <c r="K2" s="4" t="s">
        <v>26</v>
      </c>
      <c r="L2" s="7">
        <v>0.96</v>
      </c>
      <c r="M2" s="4" t="s">
        <v>27</v>
      </c>
      <c r="N2" s="8"/>
      <c r="O2" s="7"/>
      <c r="P2" s="8">
        <v>46131.0</v>
      </c>
      <c r="Q2" s="3" t="s">
        <v>28</v>
      </c>
    </row>
    <row r="3" ht="22.5" customHeight="1">
      <c r="A3" s="3" t="s">
        <v>29</v>
      </c>
      <c r="B3" s="4" t="s">
        <v>30</v>
      </c>
      <c r="C3" s="4" t="s">
        <v>20</v>
      </c>
      <c r="D3" s="4" t="s">
        <v>21</v>
      </c>
      <c r="E3" s="3" t="s">
        <v>22</v>
      </c>
      <c r="F3" s="3" t="s">
        <v>23</v>
      </c>
      <c r="G3" s="5"/>
      <c r="H3" s="3" t="s">
        <v>24</v>
      </c>
      <c r="I3" s="3" t="s">
        <v>25</v>
      </c>
      <c r="J3" s="6">
        <v>0.84</v>
      </c>
      <c r="K3" s="4" t="s">
        <v>26</v>
      </c>
      <c r="L3" s="7">
        <v>0.84</v>
      </c>
      <c r="M3" s="4" t="s">
        <v>27</v>
      </c>
      <c r="N3" s="8"/>
      <c r="O3" s="7"/>
      <c r="P3" s="8">
        <v>46131.0</v>
      </c>
      <c r="Q3" s="3" t="s">
        <v>28</v>
      </c>
    </row>
    <row r="4" ht="22.5" customHeight="1">
      <c r="A4" s="3" t="s">
        <v>31</v>
      </c>
      <c r="B4" s="4" t="s">
        <v>32</v>
      </c>
      <c r="C4" s="4" t="s">
        <v>33</v>
      </c>
      <c r="D4" s="4" t="s">
        <v>21</v>
      </c>
      <c r="E4" s="3" t="s">
        <v>22</v>
      </c>
      <c r="F4" s="3" t="s">
        <v>23</v>
      </c>
      <c r="G4" s="5"/>
      <c r="H4" s="3" t="s">
        <v>24</v>
      </c>
      <c r="I4" s="3" t="s">
        <v>25</v>
      </c>
      <c r="J4" s="6">
        <v>2.2</v>
      </c>
      <c r="K4" s="4" t="s">
        <v>34</v>
      </c>
      <c r="L4" s="7">
        <v>2.2</v>
      </c>
      <c r="M4" s="4" t="s">
        <v>35</v>
      </c>
      <c r="O4" s="9"/>
      <c r="P4" s="10">
        <f t="shared" ref="P4:P6" si="1">P3</f>
        <v>46131</v>
      </c>
      <c r="Q4" s="3" t="s">
        <v>28</v>
      </c>
    </row>
    <row r="5" ht="22.5" customHeight="1">
      <c r="A5" s="3" t="s">
        <v>36</v>
      </c>
      <c r="B5" s="4" t="s">
        <v>37</v>
      </c>
      <c r="C5" s="4" t="s">
        <v>38</v>
      </c>
      <c r="D5" s="4" t="s">
        <v>21</v>
      </c>
      <c r="E5" s="3" t="s">
        <v>22</v>
      </c>
      <c r="F5" s="3" t="s">
        <v>23</v>
      </c>
      <c r="G5" s="5"/>
      <c r="H5" s="3" t="s">
        <v>24</v>
      </c>
      <c r="I5" s="3" t="s">
        <v>25</v>
      </c>
      <c r="J5" s="6">
        <v>1.0</v>
      </c>
      <c r="K5" s="4" t="s">
        <v>34</v>
      </c>
      <c r="L5" s="9">
        <f>J5/(125*6)*1000</f>
        <v>1.333333333</v>
      </c>
      <c r="M5" s="4" t="s">
        <v>35</v>
      </c>
      <c r="O5" s="9"/>
      <c r="P5" s="10">
        <f t="shared" si="1"/>
        <v>46131</v>
      </c>
      <c r="Q5" s="3" t="s">
        <v>28</v>
      </c>
    </row>
    <row r="6" ht="22.5" customHeight="1">
      <c r="A6" s="3" t="s">
        <v>39</v>
      </c>
      <c r="B6" s="4" t="s">
        <v>40</v>
      </c>
      <c r="C6" s="4" t="s">
        <v>41</v>
      </c>
      <c r="D6" s="4" t="s">
        <v>42</v>
      </c>
      <c r="E6" s="3" t="s">
        <v>43</v>
      </c>
      <c r="F6" s="3" t="s">
        <v>23</v>
      </c>
      <c r="G6" s="5"/>
      <c r="H6" s="3" t="s">
        <v>24</v>
      </c>
      <c r="I6" s="3" t="s">
        <v>25</v>
      </c>
      <c r="J6" s="6">
        <v>1.99</v>
      </c>
      <c r="K6" s="4" t="s">
        <v>34</v>
      </c>
      <c r="L6" s="9">
        <f>J6/(8*120)*1000</f>
        <v>2.072916667</v>
      </c>
      <c r="M6" s="4" t="s">
        <v>35</v>
      </c>
      <c r="O6" s="9"/>
      <c r="P6" s="10">
        <f t="shared" si="1"/>
        <v>46131</v>
      </c>
      <c r="Q6" s="3" t="s">
        <v>28</v>
      </c>
    </row>
    <row r="7" ht="22.5" customHeight="1">
      <c r="A7" s="3" t="s">
        <v>44</v>
      </c>
      <c r="B7" s="4" t="s">
        <v>45</v>
      </c>
      <c r="C7" s="4" t="s">
        <v>46</v>
      </c>
      <c r="D7" s="4" t="s">
        <v>21</v>
      </c>
      <c r="E7" s="3" t="s">
        <v>22</v>
      </c>
      <c r="F7" s="3" t="s">
        <v>23</v>
      </c>
      <c r="G7" s="5"/>
      <c r="H7" s="3" t="s">
        <v>24</v>
      </c>
      <c r="I7" s="3" t="s">
        <v>25</v>
      </c>
      <c r="J7" s="6">
        <v>2.05</v>
      </c>
      <c r="K7" s="4" t="s">
        <v>34</v>
      </c>
      <c r="L7" s="9">
        <f>J7/300*1000</f>
        <v>6.833333333</v>
      </c>
      <c r="M7" s="4" t="s">
        <v>35</v>
      </c>
      <c r="O7" s="9"/>
      <c r="P7" s="10">
        <f>P5</f>
        <v>46131</v>
      </c>
      <c r="Q7" s="3" t="s">
        <v>28</v>
      </c>
    </row>
    <row r="8" ht="22.5" customHeight="1">
      <c r="A8" s="3" t="s">
        <v>47</v>
      </c>
      <c r="B8" s="4" t="s">
        <v>48</v>
      </c>
      <c r="C8" s="4" t="s">
        <v>49</v>
      </c>
      <c r="D8" s="4" t="s">
        <v>21</v>
      </c>
      <c r="E8" s="3" t="s">
        <v>22</v>
      </c>
      <c r="F8" s="3" t="s">
        <v>23</v>
      </c>
      <c r="G8" s="5"/>
      <c r="H8" s="3" t="s">
        <v>24</v>
      </c>
      <c r="I8" s="3" t="s">
        <v>25</v>
      </c>
      <c r="J8" s="6">
        <v>1.65</v>
      </c>
      <c r="K8" s="4" t="s">
        <v>34</v>
      </c>
      <c r="L8" s="9">
        <f>J8/200*1000</f>
        <v>8.25</v>
      </c>
      <c r="M8" s="4" t="s">
        <v>35</v>
      </c>
      <c r="O8" s="9"/>
      <c r="P8" s="10">
        <f t="shared" ref="P8:P10" si="2">P7</f>
        <v>46131</v>
      </c>
      <c r="Q8" s="3" t="s">
        <v>28</v>
      </c>
    </row>
    <row r="9" ht="22.5" customHeight="1">
      <c r="A9" s="3" t="s">
        <v>50</v>
      </c>
      <c r="B9" s="4" t="s">
        <v>51</v>
      </c>
      <c r="C9" s="4" t="s">
        <v>52</v>
      </c>
      <c r="D9" s="4" t="s">
        <v>21</v>
      </c>
      <c r="E9" s="3" t="s">
        <v>22</v>
      </c>
      <c r="F9" s="3" t="s">
        <v>23</v>
      </c>
      <c r="G9" s="5"/>
      <c r="H9" s="3" t="s">
        <v>53</v>
      </c>
      <c r="I9" s="3" t="s">
        <v>25</v>
      </c>
      <c r="J9" s="6">
        <v>1.5</v>
      </c>
      <c r="K9" s="4" t="s">
        <v>34</v>
      </c>
      <c r="L9" s="9">
        <f t="shared" ref="L9:L11" si="3">J9*2</f>
        <v>3</v>
      </c>
      <c r="M9" s="4" t="s">
        <v>35</v>
      </c>
      <c r="O9" s="9"/>
      <c r="P9" s="10">
        <f t="shared" si="2"/>
        <v>46131</v>
      </c>
      <c r="Q9" s="3" t="s">
        <v>28</v>
      </c>
    </row>
    <row r="10" ht="22.5" customHeight="1">
      <c r="A10" s="3" t="s">
        <v>54</v>
      </c>
      <c r="B10" s="4" t="s">
        <v>55</v>
      </c>
      <c r="C10" s="4" t="s">
        <v>52</v>
      </c>
      <c r="D10" s="4" t="s">
        <v>56</v>
      </c>
      <c r="E10" s="3" t="s">
        <v>43</v>
      </c>
      <c r="F10" s="3" t="s">
        <v>23</v>
      </c>
      <c r="G10" s="5"/>
      <c r="H10" s="3" t="s">
        <v>53</v>
      </c>
      <c r="I10" s="3" t="s">
        <v>25</v>
      </c>
      <c r="J10" s="6">
        <v>2.5</v>
      </c>
      <c r="K10" s="4" t="s">
        <v>34</v>
      </c>
      <c r="L10" s="9">
        <f t="shared" si="3"/>
        <v>5</v>
      </c>
      <c r="M10" s="4" t="str">
        <f>M9</f>
        <v>€/kg</v>
      </c>
      <c r="O10" s="9"/>
      <c r="P10" s="10">
        <f t="shared" si="2"/>
        <v>46131</v>
      </c>
      <c r="Q10" s="3" t="s">
        <v>28</v>
      </c>
    </row>
    <row r="11" ht="22.5" customHeight="1">
      <c r="A11" s="3" t="s">
        <v>57</v>
      </c>
      <c r="B11" s="4" t="s">
        <v>58</v>
      </c>
      <c r="C11" s="4" t="s">
        <v>52</v>
      </c>
      <c r="D11" s="4" t="s">
        <v>21</v>
      </c>
      <c r="E11" s="3" t="s">
        <v>22</v>
      </c>
      <c r="F11" s="3" t="s">
        <v>23</v>
      </c>
      <c r="G11" s="5"/>
      <c r="H11" s="3" t="s">
        <v>53</v>
      </c>
      <c r="I11" s="3" t="s">
        <v>25</v>
      </c>
      <c r="J11" s="6">
        <v>2.0</v>
      </c>
      <c r="K11" s="4" t="s">
        <v>34</v>
      </c>
      <c r="L11" s="9">
        <f t="shared" si="3"/>
        <v>4</v>
      </c>
      <c r="M11" s="4" t="s">
        <v>35</v>
      </c>
      <c r="O11" s="9"/>
      <c r="P11" s="10">
        <f>P9</f>
        <v>46131</v>
      </c>
      <c r="Q11" s="3" t="s">
        <v>28</v>
      </c>
    </row>
    <row r="12" ht="22.5" customHeight="1">
      <c r="A12" s="3" t="s">
        <v>59</v>
      </c>
      <c r="B12" s="4" t="s">
        <v>60</v>
      </c>
      <c r="C12" s="4" t="s">
        <v>20</v>
      </c>
      <c r="D12" s="4" t="s">
        <v>61</v>
      </c>
      <c r="E12" s="3" t="s">
        <v>43</v>
      </c>
      <c r="F12" s="3" t="s">
        <v>23</v>
      </c>
      <c r="G12" s="5"/>
      <c r="H12" s="3" t="s">
        <v>53</v>
      </c>
      <c r="I12" s="3" t="s">
        <v>25</v>
      </c>
      <c r="J12" s="6">
        <v>4.95</v>
      </c>
      <c r="K12" s="4" t="s">
        <v>26</v>
      </c>
      <c r="L12" s="9">
        <f t="shared" ref="L12:L13" si="4">J12</f>
        <v>4.95</v>
      </c>
      <c r="M12" s="4" t="s">
        <v>27</v>
      </c>
      <c r="O12" s="9"/>
      <c r="P12" s="10">
        <f t="shared" ref="P12:P13" si="5">P11</f>
        <v>46131</v>
      </c>
      <c r="Q12" s="3" t="s">
        <v>28</v>
      </c>
    </row>
    <row r="13" ht="22.5" customHeight="1">
      <c r="A13" s="3" t="s">
        <v>62</v>
      </c>
      <c r="B13" s="4" t="s">
        <v>63</v>
      </c>
      <c r="C13" s="4" t="s">
        <v>20</v>
      </c>
      <c r="D13" s="4" t="s">
        <v>21</v>
      </c>
      <c r="E13" s="3" t="s">
        <v>22</v>
      </c>
      <c r="F13" s="3" t="s">
        <v>23</v>
      </c>
      <c r="G13" s="5"/>
      <c r="H13" s="3" t="s">
        <v>53</v>
      </c>
      <c r="I13" s="3" t="s">
        <v>25</v>
      </c>
      <c r="J13" s="6">
        <v>1.85</v>
      </c>
      <c r="K13" s="4" t="s">
        <v>26</v>
      </c>
      <c r="L13" s="9">
        <f t="shared" si="4"/>
        <v>1.85</v>
      </c>
      <c r="M13" s="4" t="s">
        <v>27</v>
      </c>
      <c r="O13" s="9"/>
      <c r="P13" s="10">
        <f t="shared" si="5"/>
        <v>46131</v>
      </c>
      <c r="Q13" s="3" t="s">
        <v>28</v>
      </c>
    </row>
    <row r="14" ht="22.5" customHeight="1">
      <c r="A14" s="3" t="s">
        <v>64</v>
      </c>
      <c r="B14" s="4" t="s">
        <v>65</v>
      </c>
      <c r="C14" s="4" t="s">
        <v>66</v>
      </c>
      <c r="D14" s="4" t="s">
        <v>21</v>
      </c>
      <c r="E14" s="3" t="s">
        <v>22</v>
      </c>
      <c r="F14" s="3" t="s">
        <v>23</v>
      </c>
      <c r="G14" s="5"/>
      <c r="H14" s="3" t="s">
        <v>53</v>
      </c>
      <c r="I14" s="3" t="s">
        <v>25</v>
      </c>
      <c r="J14" s="6">
        <v>2.6</v>
      </c>
      <c r="K14" s="4" t="s">
        <v>34</v>
      </c>
      <c r="L14" s="9">
        <f>J14/250*1000</f>
        <v>10.4</v>
      </c>
      <c r="M14" s="4" t="s">
        <v>35</v>
      </c>
      <c r="O14" s="9"/>
      <c r="P14" s="10">
        <f>P11</f>
        <v>46131</v>
      </c>
      <c r="Q14" s="3" t="s">
        <v>28</v>
      </c>
    </row>
    <row r="15" ht="22.5" customHeight="1">
      <c r="A15" s="3" t="s">
        <v>67</v>
      </c>
      <c r="B15" s="4" t="s">
        <v>68</v>
      </c>
      <c r="C15" s="4" t="s">
        <v>69</v>
      </c>
      <c r="D15" s="4" t="s">
        <v>21</v>
      </c>
      <c r="E15" s="3" t="s">
        <v>22</v>
      </c>
      <c r="F15" s="3" t="s">
        <v>23</v>
      </c>
      <c r="G15" s="5"/>
      <c r="H15" s="3" t="s">
        <v>53</v>
      </c>
      <c r="I15" s="3" t="s">
        <v>25</v>
      </c>
      <c r="J15" s="6">
        <v>3.45</v>
      </c>
      <c r="K15" s="4" t="s">
        <v>10</v>
      </c>
      <c r="L15" s="9">
        <f>J15/16</f>
        <v>0.215625</v>
      </c>
      <c r="M15" s="4" t="s">
        <v>70</v>
      </c>
      <c r="O15" s="9"/>
      <c r="P15" s="10">
        <f t="shared" ref="P15:P17" si="6">P14</f>
        <v>46131</v>
      </c>
      <c r="Q15" s="3" t="s">
        <v>28</v>
      </c>
    </row>
    <row r="16" ht="22.5" customHeight="1">
      <c r="A16" s="3" t="s">
        <v>71</v>
      </c>
      <c r="B16" s="4" t="s">
        <v>72</v>
      </c>
      <c r="C16" s="4" t="s">
        <v>73</v>
      </c>
      <c r="D16" s="4" t="s">
        <v>74</v>
      </c>
      <c r="E16" s="3" t="s">
        <v>22</v>
      </c>
      <c r="F16" s="3" t="s">
        <v>23</v>
      </c>
      <c r="G16" s="5"/>
      <c r="H16" s="3" t="s">
        <v>75</v>
      </c>
      <c r="I16" s="3" t="s">
        <v>25</v>
      </c>
      <c r="J16" s="6">
        <v>2.95</v>
      </c>
      <c r="K16" s="4" t="s">
        <v>10</v>
      </c>
      <c r="L16" s="9">
        <f>J16/30</f>
        <v>0.09833333333</v>
      </c>
      <c r="M16" s="4" t="s">
        <v>70</v>
      </c>
      <c r="N16" s="4">
        <v>30.0</v>
      </c>
      <c r="O16" s="9">
        <f>J16/30</f>
        <v>0.09833333333</v>
      </c>
      <c r="P16" s="10">
        <f t="shared" si="6"/>
        <v>46131</v>
      </c>
      <c r="Q16" s="3" t="s">
        <v>28</v>
      </c>
    </row>
    <row r="17" ht="22.5" customHeight="1">
      <c r="A17" s="3" t="s">
        <v>76</v>
      </c>
      <c r="B17" s="4" t="s">
        <v>72</v>
      </c>
      <c r="C17" s="4" t="s">
        <v>77</v>
      </c>
      <c r="D17" s="4" t="s">
        <v>78</v>
      </c>
      <c r="E17" s="3" t="s">
        <v>43</v>
      </c>
      <c r="F17" s="3" t="s">
        <v>23</v>
      </c>
      <c r="G17" s="5"/>
      <c r="H17" s="3" t="s">
        <v>75</v>
      </c>
      <c r="I17" s="3" t="s">
        <v>25</v>
      </c>
      <c r="J17" s="6">
        <v>5.85</v>
      </c>
      <c r="K17" s="4" t="s">
        <v>10</v>
      </c>
      <c r="L17" s="9">
        <f>J17/35</f>
        <v>0.1671428571</v>
      </c>
      <c r="M17" s="4" t="str">
        <f>M16</f>
        <v>€/unit</v>
      </c>
      <c r="N17" s="4">
        <v>35.0</v>
      </c>
      <c r="O17" s="9">
        <f t="shared" ref="O17:O20" si="9">J17/N17</f>
        <v>0.1671428571</v>
      </c>
      <c r="P17" s="10">
        <f t="shared" si="6"/>
        <v>46131</v>
      </c>
      <c r="Q17" s="3" t="s">
        <v>28</v>
      </c>
    </row>
    <row r="18" ht="22.5" customHeight="1">
      <c r="A18" s="3" t="s">
        <v>79</v>
      </c>
      <c r="B18" s="4" t="s">
        <v>80</v>
      </c>
      <c r="C18" s="4" t="s">
        <v>81</v>
      </c>
      <c r="D18" s="4" t="str">
        <f t="shared" ref="D18:E18" si="7">D16</f>
        <v>Bosque Verde</v>
      </c>
      <c r="E18" s="11" t="str">
        <f t="shared" si="7"/>
        <v>yes</v>
      </c>
      <c r="F18" s="3" t="s">
        <v>23</v>
      </c>
      <c r="G18" s="5"/>
      <c r="H18" s="11" t="str">
        <f t="shared" ref="H18:I18" si="8">H16</f>
        <v>cleaning</v>
      </c>
      <c r="I18" s="11" t="str">
        <f t="shared" si="8"/>
        <v>Mercadona</v>
      </c>
      <c r="J18" s="6">
        <v>3.45</v>
      </c>
      <c r="K18" s="4" t="s">
        <v>26</v>
      </c>
      <c r="L18" s="9">
        <f>J18/720*1000</f>
        <v>4.791666667</v>
      </c>
      <c r="M18" s="4" t="s">
        <v>27</v>
      </c>
      <c r="N18" s="4">
        <v>36.0</v>
      </c>
      <c r="O18" s="9">
        <f t="shared" si="9"/>
        <v>0.09583333333</v>
      </c>
      <c r="P18" s="10">
        <f>P16</f>
        <v>46131</v>
      </c>
      <c r="Q18" s="3" t="s">
        <v>28</v>
      </c>
    </row>
    <row r="19" ht="22.5" customHeight="1">
      <c r="A19" s="3" t="s">
        <v>82</v>
      </c>
      <c r="B19" s="4" t="s">
        <v>83</v>
      </c>
      <c r="C19" s="4" t="s">
        <v>84</v>
      </c>
      <c r="D19" s="4" t="s">
        <v>74</v>
      </c>
      <c r="E19" s="3" t="s">
        <v>22</v>
      </c>
      <c r="F19" s="3" t="s">
        <v>23</v>
      </c>
      <c r="G19" s="5"/>
      <c r="H19" s="3" t="s">
        <v>75</v>
      </c>
      <c r="I19" s="3" t="s">
        <v>25</v>
      </c>
      <c r="J19" s="6">
        <v>3.4</v>
      </c>
      <c r="K19" s="4" t="s">
        <v>26</v>
      </c>
      <c r="L19" s="9">
        <f>J19/3</f>
        <v>1.133333333</v>
      </c>
      <c r="M19" s="4" t="s">
        <v>27</v>
      </c>
      <c r="N19" s="4">
        <v>50.0</v>
      </c>
      <c r="O19" s="9">
        <f t="shared" si="9"/>
        <v>0.068</v>
      </c>
      <c r="P19" s="10">
        <f t="shared" ref="P19:P22" si="10">P18</f>
        <v>46131</v>
      </c>
      <c r="Q19" s="3" t="s">
        <v>28</v>
      </c>
    </row>
    <row r="20" ht="22.5" customHeight="1">
      <c r="A20" s="3" t="s">
        <v>85</v>
      </c>
      <c r="B20" s="4" t="s">
        <v>86</v>
      </c>
      <c r="C20" s="4" t="s">
        <v>87</v>
      </c>
      <c r="D20" s="4" t="s">
        <v>74</v>
      </c>
      <c r="E20" s="3" t="s">
        <v>22</v>
      </c>
      <c r="F20" s="3" t="s">
        <v>23</v>
      </c>
      <c r="G20" s="5"/>
      <c r="H20" s="3" t="s">
        <v>75</v>
      </c>
      <c r="I20" s="3" t="s">
        <v>25</v>
      </c>
      <c r="J20" s="6">
        <v>4.4</v>
      </c>
      <c r="K20" s="4" t="s">
        <v>10</v>
      </c>
      <c r="L20" s="9">
        <f>J20/24</f>
        <v>0.1833333333</v>
      </c>
      <c r="M20" s="4" t="s">
        <v>70</v>
      </c>
      <c r="N20" s="4">
        <v>24.0</v>
      </c>
      <c r="O20" s="9">
        <f t="shared" si="9"/>
        <v>0.1833333333</v>
      </c>
      <c r="P20" s="10">
        <f t="shared" si="10"/>
        <v>46131</v>
      </c>
      <c r="Q20" s="3" t="s">
        <v>28</v>
      </c>
    </row>
    <row r="21" ht="22.5" customHeight="1">
      <c r="A21" s="3" t="s">
        <v>88</v>
      </c>
      <c r="B21" s="4" t="s">
        <v>89</v>
      </c>
      <c r="C21" s="4" t="s">
        <v>90</v>
      </c>
      <c r="D21" s="4" t="s">
        <v>21</v>
      </c>
      <c r="E21" s="3" t="s">
        <v>22</v>
      </c>
      <c r="F21" s="3" t="s">
        <v>23</v>
      </c>
      <c r="G21" s="5"/>
      <c r="H21" s="3" t="s">
        <v>91</v>
      </c>
      <c r="I21" s="3" t="s">
        <v>25</v>
      </c>
      <c r="J21" s="6">
        <v>3.0</v>
      </c>
      <c r="K21" s="4" t="s">
        <v>10</v>
      </c>
      <c r="L21" s="9">
        <f t="shared" ref="L21:L23" si="11">J21/12</f>
        <v>0.25</v>
      </c>
      <c r="M21" s="4" t="s">
        <v>70</v>
      </c>
      <c r="O21" s="9"/>
      <c r="P21" s="10">
        <f t="shared" si="10"/>
        <v>46131</v>
      </c>
      <c r="Q21" s="3" t="s">
        <v>28</v>
      </c>
    </row>
    <row r="22" ht="22.5" customHeight="1">
      <c r="A22" s="3" t="s">
        <v>92</v>
      </c>
      <c r="B22" s="4" t="s">
        <v>93</v>
      </c>
      <c r="C22" s="4" t="s">
        <v>90</v>
      </c>
      <c r="D22" s="4" t="str">
        <f>D21</f>
        <v>Hacendado</v>
      </c>
      <c r="E22" s="3" t="s">
        <v>22</v>
      </c>
      <c r="F22" s="3" t="s">
        <v>23</v>
      </c>
      <c r="G22" s="5"/>
      <c r="H22" s="11" t="str">
        <f>H21</f>
        <v>fresh produce</v>
      </c>
      <c r="I22" s="3" t="s">
        <v>25</v>
      </c>
      <c r="J22" s="6">
        <v>3.2</v>
      </c>
      <c r="K22" s="4" t="s">
        <v>10</v>
      </c>
      <c r="L22" s="9">
        <f t="shared" si="11"/>
        <v>0.2666666667</v>
      </c>
      <c r="M22" s="4" t="s">
        <v>70</v>
      </c>
      <c r="O22" s="9"/>
      <c r="P22" s="10">
        <f t="shared" si="10"/>
        <v>46131</v>
      </c>
      <c r="Q22" s="3" t="s">
        <v>28</v>
      </c>
    </row>
    <row r="23" ht="22.5" customHeight="1">
      <c r="A23" s="3" t="s">
        <v>94</v>
      </c>
      <c r="B23" s="4" t="s">
        <v>95</v>
      </c>
      <c r="C23" s="4" t="s">
        <v>90</v>
      </c>
      <c r="D23" s="4" t="s">
        <v>21</v>
      </c>
      <c r="E23" s="3" t="s">
        <v>22</v>
      </c>
      <c r="F23" s="3" t="s">
        <v>23</v>
      </c>
      <c r="G23" s="5"/>
      <c r="H23" s="3" t="s">
        <v>91</v>
      </c>
      <c r="I23" s="3" t="s">
        <v>25</v>
      </c>
      <c r="J23" s="6">
        <v>3.5</v>
      </c>
      <c r="K23" s="4" t="s">
        <v>10</v>
      </c>
      <c r="L23" s="9">
        <f t="shared" si="11"/>
        <v>0.2916666667</v>
      </c>
      <c r="M23" s="4" t="s">
        <v>70</v>
      </c>
      <c r="O23" s="9"/>
      <c r="P23" s="10">
        <f>P21</f>
        <v>46131</v>
      </c>
      <c r="Q23" s="3" t="s">
        <v>28</v>
      </c>
    </row>
    <row r="24" ht="22.5" customHeight="1">
      <c r="A24" s="3" t="s">
        <v>96</v>
      </c>
      <c r="B24" s="4" t="s">
        <v>97</v>
      </c>
      <c r="C24" s="4" t="s">
        <v>98</v>
      </c>
      <c r="D24" s="4" t="s">
        <v>21</v>
      </c>
      <c r="E24" s="3" t="s">
        <v>22</v>
      </c>
      <c r="F24" s="3" t="s">
        <v>23</v>
      </c>
      <c r="G24" s="5"/>
      <c r="H24" s="3" t="s">
        <v>91</v>
      </c>
      <c r="I24" s="3" t="s">
        <v>25</v>
      </c>
      <c r="J24" s="6">
        <v>3.33</v>
      </c>
      <c r="K24" s="4" t="s">
        <v>34</v>
      </c>
      <c r="L24" s="9">
        <f>J24*2</f>
        <v>6.66</v>
      </c>
      <c r="M24" s="4" t="s">
        <v>35</v>
      </c>
      <c r="O24" s="9"/>
      <c r="P24" s="10">
        <f t="shared" ref="P24:P36" si="12">P23</f>
        <v>46131</v>
      </c>
      <c r="Q24" s="3" t="s">
        <v>28</v>
      </c>
    </row>
    <row r="25" ht="22.5" customHeight="1">
      <c r="A25" s="3" t="s">
        <v>99</v>
      </c>
      <c r="B25" s="4" t="s">
        <v>100</v>
      </c>
      <c r="C25" s="4" t="s">
        <v>33</v>
      </c>
      <c r="D25" s="4" t="s">
        <v>101</v>
      </c>
      <c r="E25" s="3" t="s">
        <v>43</v>
      </c>
      <c r="F25" s="3" t="s">
        <v>23</v>
      </c>
      <c r="G25" s="5"/>
      <c r="H25" s="3" t="s">
        <v>91</v>
      </c>
      <c r="I25" s="3" t="s">
        <v>25</v>
      </c>
      <c r="J25" s="6">
        <v>1.55</v>
      </c>
      <c r="K25" s="4" t="s">
        <v>34</v>
      </c>
      <c r="L25" s="7">
        <v>1.55</v>
      </c>
      <c r="M25" s="4" t="s">
        <v>35</v>
      </c>
      <c r="O25" s="9"/>
      <c r="P25" s="10">
        <f t="shared" si="12"/>
        <v>46131</v>
      </c>
      <c r="Q25" s="3" t="s">
        <v>28</v>
      </c>
    </row>
    <row r="26" ht="22.5" customHeight="1">
      <c r="A26" s="3" t="s">
        <v>102</v>
      </c>
      <c r="B26" s="4" t="s">
        <v>103</v>
      </c>
      <c r="C26" s="4" t="s">
        <v>46</v>
      </c>
      <c r="D26" s="4" t="s">
        <v>21</v>
      </c>
      <c r="E26" s="3" t="s">
        <v>22</v>
      </c>
      <c r="F26" s="3" t="s">
        <v>23</v>
      </c>
      <c r="G26" s="5"/>
      <c r="H26" s="3" t="s">
        <v>104</v>
      </c>
      <c r="I26" s="3" t="s">
        <v>25</v>
      </c>
      <c r="J26" s="6">
        <v>1.9</v>
      </c>
      <c r="K26" s="4" t="s">
        <v>34</v>
      </c>
      <c r="L26" s="9">
        <f>J26/300*1000</f>
        <v>6.333333333</v>
      </c>
      <c r="M26" s="4" t="s">
        <v>35</v>
      </c>
      <c r="O26" s="9"/>
      <c r="P26" s="10">
        <f t="shared" si="12"/>
        <v>46131</v>
      </c>
      <c r="Q26" s="3" t="s">
        <v>28</v>
      </c>
    </row>
    <row r="27" ht="22.5" customHeight="1">
      <c r="A27" s="3" t="s">
        <v>105</v>
      </c>
      <c r="B27" s="4" t="s">
        <v>106</v>
      </c>
      <c r="C27" s="4" t="s">
        <v>107</v>
      </c>
      <c r="D27" s="4" t="s">
        <v>21</v>
      </c>
      <c r="E27" s="3" t="s">
        <v>22</v>
      </c>
      <c r="F27" s="3" t="s">
        <v>23</v>
      </c>
      <c r="G27" s="5"/>
      <c r="H27" s="3" t="s">
        <v>104</v>
      </c>
      <c r="I27" s="3" t="s">
        <v>25</v>
      </c>
      <c r="J27" s="6">
        <v>1.2</v>
      </c>
      <c r="K27" s="4" t="s">
        <v>34</v>
      </c>
      <c r="L27" s="9">
        <f>J27/150*1000</f>
        <v>8</v>
      </c>
      <c r="M27" s="4" t="s">
        <v>35</v>
      </c>
      <c r="O27" s="9"/>
      <c r="P27" s="10">
        <f t="shared" si="12"/>
        <v>46131</v>
      </c>
      <c r="Q27" s="3" t="s">
        <v>28</v>
      </c>
    </row>
    <row r="28" ht="22.5" customHeight="1">
      <c r="A28" s="3" t="s">
        <v>108</v>
      </c>
      <c r="B28" s="4" t="s">
        <v>109</v>
      </c>
      <c r="C28" s="4" t="s">
        <v>110</v>
      </c>
      <c r="D28" s="4" t="s">
        <v>21</v>
      </c>
      <c r="E28" s="3" t="s">
        <v>22</v>
      </c>
      <c r="F28" s="3" t="s">
        <v>23</v>
      </c>
      <c r="G28" s="5"/>
      <c r="H28" s="3" t="s">
        <v>104</v>
      </c>
      <c r="I28" s="3" t="s">
        <v>25</v>
      </c>
      <c r="J28" s="6">
        <v>1.55</v>
      </c>
      <c r="K28" s="4" t="s">
        <v>34</v>
      </c>
      <c r="L28" s="9">
        <f>J28/800*1000</f>
        <v>1.9375</v>
      </c>
      <c r="M28" s="4" t="s">
        <v>35</v>
      </c>
      <c r="O28" s="9"/>
      <c r="P28" s="10">
        <f t="shared" si="12"/>
        <v>46131</v>
      </c>
      <c r="Q28" s="3" t="s">
        <v>28</v>
      </c>
    </row>
    <row r="29" ht="22.5" customHeight="1">
      <c r="A29" s="3" t="s">
        <v>111</v>
      </c>
      <c r="B29" s="4" t="s">
        <v>112</v>
      </c>
      <c r="C29" s="4" t="s">
        <v>113</v>
      </c>
      <c r="D29" s="4" t="s">
        <v>21</v>
      </c>
      <c r="E29" s="3" t="s">
        <v>22</v>
      </c>
      <c r="F29" s="3" t="s">
        <v>23</v>
      </c>
      <c r="G29" s="5"/>
      <c r="H29" s="3" t="s">
        <v>104</v>
      </c>
      <c r="I29" s="3" t="s">
        <v>25</v>
      </c>
      <c r="J29" s="6">
        <v>1.4</v>
      </c>
      <c r="K29" s="4" t="s">
        <v>34</v>
      </c>
      <c r="L29" s="9">
        <f>J29/225*1000</f>
        <v>6.222222222</v>
      </c>
      <c r="M29" s="4" t="s">
        <v>35</v>
      </c>
      <c r="O29" s="9"/>
      <c r="P29" s="10">
        <f t="shared" si="12"/>
        <v>46131</v>
      </c>
      <c r="Q29" s="3" t="s">
        <v>28</v>
      </c>
    </row>
    <row r="30" ht="22.5" customHeight="1">
      <c r="A30" s="3" t="s">
        <v>114</v>
      </c>
      <c r="B30" s="4" t="s">
        <v>115</v>
      </c>
      <c r="C30" s="4" t="s">
        <v>116</v>
      </c>
      <c r="D30" s="4" t="s">
        <v>21</v>
      </c>
      <c r="E30" s="3" t="s">
        <v>22</v>
      </c>
      <c r="F30" s="3" t="s">
        <v>23</v>
      </c>
      <c r="G30" s="5"/>
      <c r="H30" s="3" t="s">
        <v>104</v>
      </c>
      <c r="I30" s="3" t="s">
        <v>25</v>
      </c>
      <c r="J30" s="6">
        <v>1.1</v>
      </c>
      <c r="K30" s="4" t="s">
        <v>34</v>
      </c>
      <c r="L30" s="9">
        <f>J30/125*1000</f>
        <v>8.8</v>
      </c>
      <c r="M30" s="4" t="s">
        <v>35</v>
      </c>
      <c r="O30" s="9"/>
      <c r="P30" s="10">
        <f t="shared" si="12"/>
        <v>46131</v>
      </c>
      <c r="Q30" s="3" t="s">
        <v>28</v>
      </c>
    </row>
    <row r="31" ht="22.5" customHeight="1">
      <c r="A31" s="3" t="s">
        <v>117</v>
      </c>
      <c r="B31" s="4" t="s">
        <v>118</v>
      </c>
      <c r="C31" s="4" t="s">
        <v>119</v>
      </c>
      <c r="D31" s="4" t="s">
        <v>21</v>
      </c>
      <c r="E31" s="3" t="s">
        <v>22</v>
      </c>
      <c r="F31" s="3" t="s">
        <v>23</v>
      </c>
      <c r="G31" s="5"/>
      <c r="H31" s="3" t="s">
        <v>104</v>
      </c>
      <c r="I31" s="3" t="s">
        <v>25</v>
      </c>
      <c r="J31" s="6">
        <v>1.75</v>
      </c>
      <c r="K31" s="4" t="s">
        <v>34</v>
      </c>
      <c r="L31" s="9">
        <f>J31/100*1000</f>
        <v>17.5</v>
      </c>
      <c r="M31" s="4" t="s">
        <v>35</v>
      </c>
      <c r="O31" s="9"/>
      <c r="P31" s="10">
        <f t="shared" si="12"/>
        <v>46131</v>
      </c>
      <c r="Q31" s="3" t="s">
        <v>28</v>
      </c>
    </row>
    <row r="32" ht="22.5" customHeight="1">
      <c r="A32" s="3" t="s">
        <v>18</v>
      </c>
      <c r="B32" s="4" t="s">
        <v>120</v>
      </c>
      <c r="C32" s="4" t="s">
        <v>20</v>
      </c>
      <c r="D32" s="4" t="s">
        <v>121</v>
      </c>
      <c r="E32" s="3" t="s">
        <v>22</v>
      </c>
      <c r="F32" s="3" t="s">
        <v>23</v>
      </c>
      <c r="G32" s="5"/>
      <c r="H32" s="3" t="s">
        <v>24</v>
      </c>
      <c r="I32" s="3" t="s">
        <v>121</v>
      </c>
      <c r="J32" s="6">
        <v>0.96</v>
      </c>
      <c r="K32" s="4" t="s">
        <v>26</v>
      </c>
      <c r="L32" s="9">
        <f t="shared" ref="L32:L34" si="14">J32</f>
        <v>0.96</v>
      </c>
      <c r="M32" s="4" t="s">
        <v>27</v>
      </c>
      <c r="O32" s="9"/>
      <c r="P32" s="10">
        <f t="shared" si="12"/>
        <v>46131</v>
      </c>
      <c r="Q32" s="3" t="s">
        <v>28</v>
      </c>
    </row>
    <row r="33" ht="22.5" customHeight="1">
      <c r="A33" s="3" t="s">
        <v>29</v>
      </c>
      <c r="B33" s="4" t="s">
        <v>122</v>
      </c>
      <c r="C33" s="4" t="s">
        <v>20</v>
      </c>
      <c r="D33" s="4" t="str">
        <f t="shared" ref="D33:D35" si="15">D32</f>
        <v>Consum</v>
      </c>
      <c r="E33" s="3" t="s">
        <v>22</v>
      </c>
      <c r="F33" s="3" t="s">
        <v>23</v>
      </c>
      <c r="G33" s="5"/>
      <c r="H33" s="11" t="str">
        <f t="shared" ref="H33:I33" si="13">H32</f>
        <v>dairy</v>
      </c>
      <c r="I33" s="11" t="str">
        <f t="shared" si="13"/>
        <v>Consum</v>
      </c>
      <c r="J33" s="6">
        <v>0.84</v>
      </c>
      <c r="K33" s="4" t="s">
        <v>26</v>
      </c>
      <c r="L33" s="9">
        <f t="shared" si="14"/>
        <v>0.84</v>
      </c>
      <c r="M33" s="4" t="s">
        <v>27</v>
      </c>
      <c r="O33" s="9"/>
      <c r="P33" s="10">
        <f t="shared" si="12"/>
        <v>46131</v>
      </c>
      <c r="Q33" s="3" t="s">
        <v>28</v>
      </c>
    </row>
    <row r="34" ht="22.5" customHeight="1">
      <c r="A34" s="3" t="s">
        <v>31</v>
      </c>
      <c r="B34" s="4" t="s">
        <v>123</v>
      </c>
      <c r="C34" s="4" t="s">
        <v>33</v>
      </c>
      <c r="D34" s="4" t="str">
        <f t="shared" si="15"/>
        <v>Consum</v>
      </c>
      <c r="E34" s="11" t="str">
        <f t="shared" ref="E34:E35" si="17">E33</f>
        <v>yes</v>
      </c>
      <c r="F34" s="3" t="s">
        <v>23</v>
      </c>
      <c r="G34" s="5"/>
      <c r="H34" s="11" t="str">
        <f t="shared" ref="H34:I34" si="16">H33</f>
        <v>dairy</v>
      </c>
      <c r="I34" s="11" t="str">
        <f t="shared" si="16"/>
        <v>Consum</v>
      </c>
      <c r="J34" s="6">
        <v>2.2</v>
      </c>
      <c r="K34" s="4" t="s">
        <v>34</v>
      </c>
      <c r="L34" s="9">
        <f t="shared" si="14"/>
        <v>2.2</v>
      </c>
      <c r="M34" s="4" t="s">
        <v>35</v>
      </c>
      <c r="O34" s="9"/>
      <c r="P34" s="10">
        <f t="shared" si="12"/>
        <v>46131</v>
      </c>
      <c r="Q34" s="3" t="s">
        <v>28</v>
      </c>
    </row>
    <row r="35" ht="22.5" customHeight="1">
      <c r="A35" s="3" t="s">
        <v>36</v>
      </c>
      <c r="B35" s="4" t="s">
        <v>124</v>
      </c>
      <c r="C35" s="4" t="s">
        <v>125</v>
      </c>
      <c r="D35" s="4" t="str">
        <f t="shared" si="15"/>
        <v>Consum</v>
      </c>
      <c r="E35" s="11" t="str">
        <f t="shared" si="17"/>
        <v>yes</v>
      </c>
      <c r="F35" s="3" t="s">
        <v>23</v>
      </c>
      <c r="G35" s="5"/>
      <c r="H35" s="11" t="str">
        <f t="shared" ref="H35:I35" si="18">H34</f>
        <v>dairy</v>
      </c>
      <c r="I35" s="11" t="str">
        <f t="shared" si="18"/>
        <v>Consum</v>
      </c>
      <c r="J35" s="6">
        <v>0.65</v>
      </c>
      <c r="K35" s="4" t="s">
        <v>34</v>
      </c>
      <c r="L35" s="9">
        <f>J35/(4*125)*1000</f>
        <v>1.3</v>
      </c>
      <c r="M35" s="4" t="s">
        <v>35</v>
      </c>
      <c r="O35" s="9"/>
      <c r="P35" s="10">
        <f t="shared" si="12"/>
        <v>46131</v>
      </c>
      <c r="Q35" s="3" t="s">
        <v>28</v>
      </c>
    </row>
    <row r="36" ht="22.5" customHeight="1">
      <c r="A36" s="3" t="s">
        <v>39</v>
      </c>
      <c r="B36" s="4" t="s">
        <v>124</v>
      </c>
      <c r="C36" s="4" t="s">
        <v>41</v>
      </c>
      <c r="D36" s="4" t="s">
        <v>42</v>
      </c>
      <c r="E36" s="3" t="s">
        <v>43</v>
      </c>
      <c r="F36" s="3" t="s">
        <v>23</v>
      </c>
      <c r="G36" s="5"/>
      <c r="H36" s="11" t="str">
        <f t="shared" ref="H36:I36" si="19">H35</f>
        <v>dairy</v>
      </c>
      <c r="I36" s="11" t="str">
        <f t="shared" si="19"/>
        <v>Consum</v>
      </c>
      <c r="J36" s="6">
        <v>1.69</v>
      </c>
      <c r="K36" s="4" t="s">
        <v>34</v>
      </c>
      <c r="L36" s="9">
        <f>J36/(8*120)*1000</f>
        <v>1.760416667</v>
      </c>
      <c r="M36" s="4" t="str">
        <f>M35</f>
        <v>€/kg</v>
      </c>
      <c r="O36" s="9"/>
      <c r="P36" s="10">
        <f t="shared" si="12"/>
        <v>46131</v>
      </c>
      <c r="Q36" s="3" t="s">
        <v>28</v>
      </c>
    </row>
    <row r="37" ht="22.5" customHeight="1">
      <c r="A37" s="3" t="s">
        <v>44</v>
      </c>
      <c r="B37" s="4" t="s">
        <v>126</v>
      </c>
      <c r="C37" s="4" t="s">
        <v>49</v>
      </c>
      <c r="D37" s="4" t="s">
        <v>127</v>
      </c>
      <c r="E37" s="3" t="s">
        <v>43</v>
      </c>
      <c r="F37" s="3" t="s">
        <v>23</v>
      </c>
      <c r="G37" s="4" t="s">
        <v>128</v>
      </c>
      <c r="H37" s="3" t="s">
        <v>24</v>
      </c>
      <c r="I37" s="3" t="s">
        <v>121</v>
      </c>
      <c r="J37" s="6">
        <v>1.69</v>
      </c>
      <c r="K37" s="4" t="s">
        <v>34</v>
      </c>
      <c r="L37" s="9">
        <f t="shared" ref="L37:L38" si="21">J37/200*1000</f>
        <v>8.45</v>
      </c>
      <c r="M37" s="4" t="s">
        <v>35</v>
      </c>
      <c r="O37" s="9"/>
      <c r="P37" s="10">
        <f>P35</f>
        <v>46131</v>
      </c>
      <c r="Q37" s="3" t="s">
        <v>28</v>
      </c>
    </row>
    <row r="38" ht="22.5" customHeight="1">
      <c r="A38" s="3" t="s">
        <v>47</v>
      </c>
      <c r="B38" s="4" t="s">
        <v>129</v>
      </c>
      <c r="C38" s="4" t="s">
        <v>49</v>
      </c>
      <c r="D38" s="4" t="s">
        <v>121</v>
      </c>
      <c r="E38" s="3" t="s">
        <v>22</v>
      </c>
      <c r="F38" s="3" t="s">
        <v>23</v>
      </c>
      <c r="G38" s="5"/>
      <c r="H38" s="11" t="str">
        <f t="shared" ref="H38:I38" si="20">H37</f>
        <v>dairy</v>
      </c>
      <c r="I38" s="11" t="str">
        <f t="shared" si="20"/>
        <v>Consum</v>
      </c>
      <c r="J38" s="6">
        <v>1.65</v>
      </c>
      <c r="K38" s="4" t="s">
        <v>34</v>
      </c>
      <c r="L38" s="9">
        <f t="shared" si="21"/>
        <v>8.25</v>
      </c>
      <c r="M38" s="4" t="s">
        <v>35</v>
      </c>
      <c r="O38" s="9"/>
      <c r="P38" s="10">
        <f t="shared" ref="P38:P40" si="23">P37</f>
        <v>46131</v>
      </c>
      <c r="Q38" s="3" t="s">
        <v>28</v>
      </c>
    </row>
    <row r="39" ht="22.5" customHeight="1">
      <c r="A39" s="3" t="s">
        <v>50</v>
      </c>
      <c r="B39" s="4" t="s">
        <v>130</v>
      </c>
      <c r="C39" s="4" t="s">
        <v>52</v>
      </c>
      <c r="D39" s="4" t="str">
        <f t="shared" ref="D39:E39" si="22">D38</f>
        <v>Consum</v>
      </c>
      <c r="E39" s="11" t="str">
        <f t="shared" si="22"/>
        <v>yes</v>
      </c>
      <c r="F39" s="3" t="s">
        <v>23</v>
      </c>
      <c r="G39" s="5"/>
      <c r="H39" s="3" t="s">
        <v>53</v>
      </c>
      <c r="I39" s="11" t="str">
        <f t="shared" ref="I39:I40" si="24">I38</f>
        <v>Consum</v>
      </c>
      <c r="J39" s="6">
        <v>1.35</v>
      </c>
      <c r="K39" s="4" t="s">
        <v>34</v>
      </c>
      <c r="L39" s="9">
        <f t="shared" ref="L39:L40" si="25">J39*2</f>
        <v>2.7</v>
      </c>
      <c r="M39" s="4" t="s">
        <v>35</v>
      </c>
      <c r="O39" s="9"/>
      <c r="P39" s="10">
        <f t="shared" si="23"/>
        <v>46131</v>
      </c>
      <c r="Q39" s="3" t="s">
        <v>28</v>
      </c>
    </row>
    <row r="40" ht="22.5" customHeight="1">
      <c r="A40" s="3" t="s">
        <v>54</v>
      </c>
      <c r="B40" s="4" t="s">
        <v>131</v>
      </c>
      <c r="C40" s="4" t="s">
        <v>52</v>
      </c>
      <c r="D40" s="4" t="s">
        <v>56</v>
      </c>
      <c r="E40" s="3" t="s">
        <v>43</v>
      </c>
      <c r="F40" s="3" t="s">
        <v>23</v>
      </c>
      <c r="G40" s="5"/>
      <c r="H40" s="3" t="s">
        <v>53</v>
      </c>
      <c r="I40" s="11" t="str">
        <f t="shared" si="24"/>
        <v>Consum</v>
      </c>
      <c r="J40" s="6">
        <v>2.69</v>
      </c>
      <c r="K40" s="4" t="str">
        <f>K39</f>
        <v>kg</v>
      </c>
      <c r="L40" s="9">
        <f t="shared" si="25"/>
        <v>5.38</v>
      </c>
      <c r="M40" s="4" t="str">
        <f>M39</f>
        <v>€/kg</v>
      </c>
      <c r="O40" s="9"/>
      <c r="P40" s="10">
        <f t="shared" si="23"/>
        <v>46131</v>
      </c>
      <c r="Q40" s="3" t="s">
        <v>28</v>
      </c>
    </row>
    <row r="41" ht="22.5" customHeight="1">
      <c r="A41" s="3" t="s">
        <v>57</v>
      </c>
      <c r="B41" s="4" t="s">
        <v>132</v>
      </c>
      <c r="C41" s="4" t="s">
        <v>133</v>
      </c>
      <c r="D41" s="4" t="s">
        <v>134</v>
      </c>
      <c r="E41" s="3" t="s">
        <v>43</v>
      </c>
      <c r="F41" s="3" t="s">
        <v>135</v>
      </c>
      <c r="G41" s="4" t="s">
        <v>136</v>
      </c>
      <c r="H41" s="3" t="s">
        <v>53</v>
      </c>
      <c r="I41" s="3" t="s">
        <v>121</v>
      </c>
      <c r="J41" s="6">
        <v>3.89</v>
      </c>
      <c r="K41" s="4" t="s">
        <v>34</v>
      </c>
      <c r="L41" s="9">
        <f>J41/625*1000</f>
        <v>6.224</v>
      </c>
      <c r="M41" s="4" t="s">
        <v>35</v>
      </c>
      <c r="O41" s="9"/>
      <c r="P41" s="10">
        <f>P34</f>
        <v>46131</v>
      </c>
      <c r="Q41" s="3" t="s">
        <v>28</v>
      </c>
    </row>
    <row r="42" ht="22.5" customHeight="1">
      <c r="A42" s="3" t="s">
        <v>59</v>
      </c>
      <c r="B42" s="4" t="s">
        <v>137</v>
      </c>
      <c r="C42" s="4" t="s">
        <v>20</v>
      </c>
      <c r="D42" s="4" t="s">
        <v>61</v>
      </c>
      <c r="E42" s="3" t="s">
        <v>43</v>
      </c>
      <c r="F42" s="3" t="s">
        <v>23</v>
      </c>
      <c r="G42" s="5"/>
      <c r="H42" s="11" t="str">
        <f t="shared" ref="H42:I42" si="26">H41</f>
        <v>breakfast</v>
      </c>
      <c r="I42" s="11" t="str">
        <f t="shared" si="26"/>
        <v>Consum</v>
      </c>
      <c r="J42" s="6">
        <v>4.95</v>
      </c>
      <c r="K42" s="4" t="s">
        <v>26</v>
      </c>
      <c r="L42" s="9">
        <f t="shared" ref="L42:L43" si="27">J42</f>
        <v>4.95</v>
      </c>
      <c r="M42" s="4" t="s">
        <v>27</v>
      </c>
      <c r="O42" s="9"/>
      <c r="P42" s="10">
        <f>P33</f>
        <v>46131</v>
      </c>
      <c r="Q42" s="3" t="s">
        <v>28</v>
      </c>
    </row>
    <row r="43" ht="22.5" customHeight="1">
      <c r="A43" s="3" t="s">
        <v>62</v>
      </c>
      <c r="B43" s="4" t="s">
        <v>138</v>
      </c>
      <c r="C43" s="4" t="s">
        <v>20</v>
      </c>
      <c r="D43" s="4" t="s">
        <v>121</v>
      </c>
      <c r="E43" s="3" t="s">
        <v>22</v>
      </c>
      <c r="F43" s="3" t="s">
        <v>23</v>
      </c>
      <c r="G43" s="5"/>
      <c r="H43" s="3" t="s">
        <v>53</v>
      </c>
      <c r="I43" s="3" t="s">
        <v>121</v>
      </c>
      <c r="J43" s="6">
        <v>1.79</v>
      </c>
      <c r="K43" s="4" t="s">
        <v>26</v>
      </c>
      <c r="L43" s="9">
        <f t="shared" si="27"/>
        <v>1.79</v>
      </c>
      <c r="M43" s="4" t="s">
        <v>27</v>
      </c>
      <c r="O43" s="9"/>
      <c r="P43" s="10">
        <f t="shared" ref="P43:P45" si="29">P33</f>
        <v>46131</v>
      </c>
      <c r="Q43" s="3" t="s">
        <v>28</v>
      </c>
    </row>
    <row r="44" ht="22.5" customHeight="1">
      <c r="A44" s="3" t="s">
        <v>64</v>
      </c>
      <c r="B44" s="4" t="s">
        <v>139</v>
      </c>
      <c r="C44" s="4" t="s">
        <v>66</v>
      </c>
      <c r="D44" s="4" t="s">
        <v>121</v>
      </c>
      <c r="E44" s="3" t="s">
        <v>22</v>
      </c>
      <c r="F44" s="3" t="s">
        <v>23</v>
      </c>
      <c r="G44" s="5"/>
      <c r="H44" s="11" t="str">
        <f t="shared" ref="H44:I44" si="28">H43</f>
        <v>breakfast</v>
      </c>
      <c r="I44" s="11" t="str">
        <f t="shared" si="28"/>
        <v>Consum</v>
      </c>
      <c r="J44" s="6">
        <v>2.6</v>
      </c>
      <c r="K44" s="4" t="s">
        <v>34</v>
      </c>
      <c r="L44" s="9">
        <f>J44*4</f>
        <v>10.4</v>
      </c>
      <c r="M44" s="4" t="s">
        <v>35</v>
      </c>
      <c r="O44" s="9"/>
      <c r="P44" s="10">
        <f t="shared" si="29"/>
        <v>46131</v>
      </c>
      <c r="Q44" s="3" t="s">
        <v>28</v>
      </c>
    </row>
    <row r="45" ht="22.5" customHeight="1">
      <c r="A45" s="3" t="s">
        <v>67</v>
      </c>
      <c r="B45" s="4" t="s">
        <v>140</v>
      </c>
      <c r="C45" s="4" t="s">
        <v>69</v>
      </c>
      <c r="D45" s="4" t="s">
        <v>141</v>
      </c>
      <c r="E45" s="3" t="s">
        <v>43</v>
      </c>
      <c r="F45" s="3" t="s">
        <v>23</v>
      </c>
      <c r="G45" s="5"/>
      <c r="H45" s="3" t="s">
        <v>53</v>
      </c>
      <c r="I45" s="11" t="str">
        <f t="shared" ref="I45:I47" si="30">I44</f>
        <v>Consum</v>
      </c>
      <c r="J45" s="6">
        <v>4.95</v>
      </c>
      <c r="K45" s="4" t="s">
        <v>10</v>
      </c>
      <c r="L45" s="9">
        <f>J45/16</f>
        <v>0.309375</v>
      </c>
      <c r="M45" s="4" t="s">
        <v>70</v>
      </c>
      <c r="O45" s="9"/>
      <c r="P45" s="10">
        <f t="shared" si="29"/>
        <v>46131</v>
      </c>
      <c r="Q45" s="3" t="s">
        <v>28</v>
      </c>
    </row>
    <row r="46" ht="22.5" customHeight="1">
      <c r="A46" s="3" t="s">
        <v>71</v>
      </c>
      <c r="B46" s="4" t="s">
        <v>142</v>
      </c>
      <c r="C46" s="4" t="s">
        <v>73</v>
      </c>
      <c r="D46" s="4" t="s">
        <v>121</v>
      </c>
      <c r="E46" s="3" t="s">
        <v>22</v>
      </c>
      <c r="F46" s="3" t="s">
        <v>23</v>
      </c>
      <c r="G46" s="5"/>
      <c r="H46" s="3" t="s">
        <v>75</v>
      </c>
      <c r="I46" s="11" t="str">
        <f t="shared" si="30"/>
        <v>Consum</v>
      </c>
      <c r="J46" s="6">
        <v>2.95</v>
      </c>
      <c r="K46" s="4" t="s">
        <v>10</v>
      </c>
      <c r="L46" s="9">
        <f>J46/30</f>
        <v>0.09833333333</v>
      </c>
      <c r="M46" s="4" t="s">
        <v>70</v>
      </c>
      <c r="N46" s="4">
        <v>30.0</v>
      </c>
      <c r="O46" s="9">
        <f t="shared" ref="O46:O50" si="31">J46/N46</f>
        <v>0.09833333333</v>
      </c>
      <c r="P46" s="10">
        <f t="shared" ref="P46:P47" si="32">P37</f>
        <v>46131</v>
      </c>
      <c r="Q46" s="3" t="s">
        <v>28</v>
      </c>
    </row>
    <row r="47" ht="22.5" customHeight="1">
      <c r="A47" s="3" t="s">
        <v>76</v>
      </c>
      <c r="B47" s="4" t="s">
        <v>143</v>
      </c>
      <c r="C47" s="4" t="s">
        <v>144</v>
      </c>
      <c r="D47" s="4" t="s">
        <v>78</v>
      </c>
      <c r="E47" s="3" t="s">
        <v>43</v>
      </c>
      <c r="F47" s="3" t="s">
        <v>23</v>
      </c>
      <c r="G47" s="5"/>
      <c r="H47" s="3" t="s">
        <v>75</v>
      </c>
      <c r="I47" s="11" t="str">
        <f t="shared" si="30"/>
        <v>Consum</v>
      </c>
      <c r="J47" s="6">
        <v>7.49</v>
      </c>
      <c r="K47" s="4" t="str">
        <f>K46</f>
        <v>unit</v>
      </c>
      <c r="L47" s="9">
        <f>J47/29</f>
        <v>0.2582758621</v>
      </c>
      <c r="M47" s="4" t="str">
        <f>M46</f>
        <v>€/unit</v>
      </c>
      <c r="N47" s="4">
        <v>29.0</v>
      </c>
      <c r="O47" s="9">
        <f t="shared" si="31"/>
        <v>0.2582758621</v>
      </c>
      <c r="P47" s="10">
        <f t="shared" si="32"/>
        <v>46131</v>
      </c>
      <c r="Q47" s="3" t="s">
        <v>28</v>
      </c>
    </row>
    <row r="48" ht="22.5" customHeight="1">
      <c r="A48" s="3" t="s">
        <v>79</v>
      </c>
      <c r="B48" s="4" t="s">
        <v>145</v>
      </c>
      <c r="C48" s="4" t="s">
        <v>81</v>
      </c>
      <c r="D48" s="4" t="str">
        <f>D46</f>
        <v>Consum</v>
      </c>
      <c r="E48" s="3" t="s">
        <v>22</v>
      </c>
      <c r="F48" s="3" t="s">
        <v>23</v>
      </c>
      <c r="G48" s="5"/>
      <c r="H48" s="11" t="str">
        <f t="shared" ref="H48:I48" si="33">H46</f>
        <v>cleaning</v>
      </c>
      <c r="I48" s="11" t="str">
        <f t="shared" si="33"/>
        <v>Consum</v>
      </c>
      <c r="J48" s="6">
        <v>3.35</v>
      </c>
      <c r="K48" s="4" t="s">
        <v>26</v>
      </c>
      <c r="L48" s="9">
        <f>J48/720*1000</f>
        <v>4.652777778</v>
      </c>
      <c r="M48" s="4" t="s">
        <v>27</v>
      </c>
      <c r="N48" s="4">
        <v>36.0</v>
      </c>
      <c r="O48" s="9">
        <f t="shared" si="31"/>
        <v>0.09305555556</v>
      </c>
      <c r="P48" s="10">
        <f t="shared" ref="P48:P49" si="35">P38</f>
        <v>46131</v>
      </c>
      <c r="Q48" s="3" t="s">
        <v>28</v>
      </c>
    </row>
    <row r="49" ht="22.5" customHeight="1">
      <c r="A49" s="3" t="s">
        <v>82</v>
      </c>
      <c r="B49" s="4" t="s">
        <v>146</v>
      </c>
      <c r="C49" s="4" t="s">
        <v>147</v>
      </c>
      <c r="D49" s="4" t="str">
        <f t="shared" ref="D49:D50" si="36">D48</f>
        <v>Consum</v>
      </c>
      <c r="E49" s="3" t="s">
        <v>22</v>
      </c>
      <c r="F49" s="3" t="s">
        <v>135</v>
      </c>
      <c r="G49" s="4" t="s">
        <v>148</v>
      </c>
      <c r="H49" s="11" t="str">
        <f t="shared" ref="H49:I49" si="34">H48</f>
        <v>cleaning</v>
      </c>
      <c r="I49" s="11" t="str">
        <f t="shared" si="34"/>
        <v>Consum</v>
      </c>
      <c r="J49" s="6">
        <v>3.49</v>
      </c>
      <c r="K49" s="4" t="s">
        <v>26</v>
      </c>
      <c r="L49" s="9">
        <f>J49/2.6</f>
        <v>1.342307692</v>
      </c>
      <c r="M49" s="4" t="s">
        <v>27</v>
      </c>
      <c r="N49" s="4">
        <v>52.0</v>
      </c>
      <c r="O49" s="9">
        <f t="shared" si="31"/>
        <v>0.06711538462</v>
      </c>
      <c r="P49" s="10">
        <f t="shared" si="35"/>
        <v>46131</v>
      </c>
      <c r="Q49" s="3" t="s">
        <v>28</v>
      </c>
    </row>
    <row r="50" ht="22.5" customHeight="1">
      <c r="A50" s="3" t="s">
        <v>85</v>
      </c>
      <c r="B50" s="4" t="s">
        <v>149</v>
      </c>
      <c r="C50" s="4" t="s">
        <v>87</v>
      </c>
      <c r="D50" s="4" t="str">
        <f t="shared" si="36"/>
        <v>Consum</v>
      </c>
      <c r="E50" s="11" t="str">
        <f>E49</f>
        <v>yes</v>
      </c>
      <c r="F50" s="3" t="s">
        <v>23</v>
      </c>
      <c r="G50" s="5"/>
      <c r="H50" s="11" t="str">
        <f t="shared" ref="H50:I50" si="37">H49</f>
        <v>cleaning</v>
      </c>
      <c r="I50" s="11" t="str">
        <f t="shared" si="37"/>
        <v>Consum</v>
      </c>
      <c r="J50" s="6">
        <v>3.99</v>
      </c>
      <c r="K50" s="4" t="s">
        <v>10</v>
      </c>
      <c r="L50" s="9">
        <f>J50/24</f>
        <v>0.16625</v>
      </c>
      <c r="M50" s="4" t="s">
        <v>70</v>
      </c>
      <c r="N50" s="4">
        <v>24.0</v>
      </c>
      <c r="O50" s="9">
        <f t="shared" si="31"/>
        <v>0.16625</v>
      </c>
      <c r="P50" s="10">
        <f t="shared" ref="P50:P52" si="38">P41</f>
        <v>46131</v>
      </c>
      <c r="Q50" s="3" t="s">
        <v>28</v>
      </c>
    </row>
    <row r="51" ht="22.5" customHeight="1">
      <c r="A51" s="3" t="s">
        <v>88</v>
      </c>
      <c r="B51" s="4" t="s">
        <v>150</v>
      </c>
      <c r="C51" s="4" t="s">
        <v>90</v>
      </c>
      <c r="D51" s="4" t="s">
        <v>151</v>
      </c>
      <c r="E51" s="3" t="s">
        <v>43</v>
      </c>
      <c r="F51" s="3" t="s">
        <v>23</v>
      </c>
      <c r="G51" s="5"/>
      <c r="H51" s="3" t="s">
        <v>91</v>
      </c>
      <c r="I51" s="3" t="s">
        <v>121</v>
      </c>
      <c r="J51" s="6">
        <v>3.0</v>
      </c>
      <c r="K51" s="4" t="s">
        <v>10</v>
      </c>
      <c r="L51" s="9">
        <f t="shared" ref="L51:L52" si="40">J51/12</f>
        <v>0.25</v>
      </c>
      <c r="M51" s="4" t="s">
        <v>70</v>
      </c>
      <c r="O51" s="9"/>
      <c r="P51" s="10">
        <f t="shared" si="38"/>
        <v>46131</v>
      </c>
      <c r="Q51" s="3" t="s">
        <v>28</v>
      </c>
    </row>
    <row r="52" ht="22.5" customHeight="1">
      <c r="A52" s="3" t="s">
        <v>92</v>
      </c>
      <c r="B52" s="4" t="s">
        <v>152</v>
      </c>
      <c r="C52" s="4" t="s">
        <v>90</v>
      </c>
      <c r="D52" s="4" t="str">
        <f>D51</f>
        <v>Monterde</v>
      </c>
      <c r="E52" s="3" t="s">
        <v>43</v>
      </c>
      <c r="F52" s="3" t="s">
        <v>23</v>
      </c>
      <c r="G52" s="5"/>
      <c r="H52" s="11" t="str">
        <f t="shared" ref="H52:I52" si="39">H51</f>
        <v>fresh produce</v>
      </c>
      <c r="I52" s="11" t="str">
        <f t="shared" si="39"/>
        <v>Consum</v>
      </c>
      <c r="J52" s="6">
        <v>3.2</v>
      </c>
      <c r="K52" s="4" t="s">
        <v>10</v>
      </c>
      <c r="L52" s="9">
        <f t="shared" si="40"/>
        <v>0.2666666667</v>
      </c>
      <c r="M52" s="4" t="s">
        <v>70</v>
      </c>
      <c r="O52" s="9"/>
      <c r="P52" s="10">
        <f t="shared" si="38"/>
        <v>46131</v>
      </c>
      <c r="Q52" s="3" t="s">
        <v>28</v>
      </c>
    </row>
    <row r="53" ht="22.5" customHeight="1">
      <c r="A53" s="3" t="s">
        <v>94</v>
      </c>
      <c r="B53" s="4" t="s">
        <v>153</v>
      </c>
      <c r="C53" s="4" t="s">
        <v>154</v>
      </c>
      <c r="D53" s="4" t="str">
        <f t="shared" ref="D53:E53" si="41">D51</f>
        <v>Monterde</v>
      </c>
      <c r="E53" s="11" t="str">
        <f t="shared" si="41"/>
        <v>no</v>
      </c>
      <c r="F53" s="3" t="s">
        <v>23</v>
      </c>
      <c r="G53" s="4" t="s">
        <v>155</v>
      </c>
      <c r="H53" s="11" t="str">
        <f t="shared" ref="H53:I53" si="42">H51</f>
        <v>fresh produce</v>
      </c>
      <c r="I53" s="11" t="str">
        <f t="shared" si="42"/>
        <v>Consum</v>
      </c>
      <c r="J53" s="6">
        <v>2.9</v>
      </c>
      <c r="K53" s="4" t="s">
        <v>10</v>
      </c>
      <c r="L53" s="9">
        <f>J53/10</f>
        <v>0.29</v>
      </c>
      <c r="M53" s="4" t="s">
        <v>70</v>
      </c>
      <c r="O53" s="9"/>
      <c r="P53" s="10">
        <f>P35</f>
        <v>46131</v>
      </c>
      <c r="Q53" s="3" t="s">
        <v>28</v>
      </c>
    </row>
    <row r="54" ht="22.5" customHeight="1">
      <c r="A54" s="3" t="s">
        <v>96</v>
      </c>
      <c r="B54" s="4" t="s">
        <v>156</v>
      </c>
      <c r="C54" s="4" t="s">
        <v>157</v>
      </c>
      <c r="D54" s="4" t="str">
        <f>D50</f>
        <v>Consum</v>
      </c>
      <c r="E54" s="3" t="s">
        <v>22</v>
      </c>
      <c r="F54" s="3" t="s">
        <v>23</v>
      </c>
      <c r="G54" s="5"/>
      <c r="H54" s="11" t="str">
        <f t="shared" ref="H54:I54" si="43">H53</f>
        <v>fresh produce</v>
      </c>
      <c r="I54" s="11" t="str">
        <f t="shared" si="43"/>
        <v>Consum</v>
      </c>
      <c r="J54" s="6">
        <v>4.19</v>
      </c>
      <c r="K54" s="4" t="s">
        <v>34</v>
      </c>
      <c r="L54" s="9">
        <f>J54/600*1000</f>
        <v>6.983333333</v>
      </c>
      <c r="M54" s="4" t="s">
        <v>35</v>
      </c>
      <c r="O54" s="9"/>
      <c r="P54" s="10">
        <f t="shared" ref="P54:P57" si="45">P37</f>
        <v>46131</v>
      </c>
      <c r="Q54" s="3" t="s">
        <v>28</v>
      </c>
    </row>
    <row r="55" ht="22.5" customHeight="1">
      <c r="A55" s="3" t="s">
        <v>99</v>
      </c>
      <c r="B55" s="4" t="s">
        <v>100</v>
      </c>
      <c r="C55" s="4" t="s">
        <v>33</v>
      </c>
      <c r="D55" s="4" t="s">
        <v>101</v>
      </c>
      <c r="E55" s="3" t="s">
        <v>43</v>
      </c>
      <c r="F55" s="3" t="s">
        <v>23</v>
      </c>
      <c r="G55" s="5"/>
      <c r="H55" s="11" t="str">
        <f t="shared" ref="H55:I55" si="44">H54</f>
        <v>fresh produce</v>
      </c>
      <c r="I55" s="11" t="str">
        <f t="shared" si="44"/>
        <v>Consum</v>
      </c>
      <c r="J55" s="6">
        <v>1.55</v>
      </c>
      <c r="K55" s="4" t="s">
        <v>34</v>
      </c>
      <c r="L55" s="7">
        <v>1.55</v>
      </c>
      <c r="M55" s="4" t="s">
        <v>35</v>
      </c>
      <c r="O55" s="9"/>
      <c r="P55" s="10">
        <f t="shared" si="45"/>
        <v>46131</v>
      </c>
      <c r="Q55" s="3" t="s">
        <v>28</v>
      </c>
    </row>
    <row r="56" ht="22.5" customHeight="1">
      <c r="A56" s="3" t="s">
        <v>102</v>
      </c>
      <c r="B56" s="4" t="s">
        <v>158</v>
      </c>
      <c r="C56" s="4" t="s">
        <v>159</v>
      </c>
      <c r="D56" s="4" t="str">
        <f>D54</f>
        <v>Consum</v>
      </c>
      <c r="E56" s="3" t="s">
        <v>22</v>
      </c>
      <c r="F56" s="3" t="s">
        <v>23</v>
      </c>
      <c r="G56" s="5"/>
      <c r="H56" s="3" t="s">
        <v>104</v>
      </c>
      <c r="I56" s="3" t="s">
        <v>121</v>
      </c>
      <c r="J56" s="6">
        <v>1.9</v>
      </c>
      <c r="K56" s="4" t="s">
        <v>34</v>
      </c>
      <c r="L56" s="9">
        <f>J56/(2*150)*1000</f>
        <v>6.333333333</v>
      </c>
      <c r="M56" s="4" t="s">
        <v>35</v>
      </c>
      <c r="O56" s="9"/>
      <c r="P56" s="10">
        <f t="shared" si="45"/>
        <v>46131</v>
      </c>
      <c r="Q56" s="3" t="s">
        <v>28</v>
      </c>
    </row>
    <row r="57" ht="22.5" customHeight="1">
      <c r="A57" s="3" t="s">
        <v>160</v>
      </c>
      <c r="B57" s="4" t="s">
        <v>161</v>
      </c>
      <c r="C57" s="4" t="s">
        <v>162</v>
      </c>
      <c r="D57" s="4" t="s">
        <v>163</v>
      </c>
      <c r="E57" s="3" t="s">
        <v>43</v>
      </c>
      <c r="F57" s="3" t="s">
        <v>23</v>
      </c>
      <c r="G57" s="5"/>
      <c r="H57" s="3" t="s">
        <v>104</v>
      </c>
      <c r="I57" s="3" t="s">
        <v>121</v>
      </c>
      <c r="J57" s="6">
        <v>2.49</v>
      </c>
      <c r="K57" s="4" t="str">
        <f>K56</f>
        <v>kg</v>
      </c>
      <c r="L57" s="9">
        <f>J57/248*1000</f>
        <v>10.04032258</v>
      </c>
      <c r="M57" s="4" t="str">
        <f>M56</f>
        <v>€/kg</v>
      </c>
      <c r="O57" s="9"/>
      <c r="P57" s="10">
        <f t="shared" si="45"/>
        <v>46131</v>
      </c>
      <c r="Q57" s="3" t="s">
        <v>28</v>
      </c>
    </row>
    <row r="58" ht="22.5" customHeight="1">
      <c r="A58" s="3" t="s">
        <v>105</v>
      </c>
      <c r="B58" s="4" t="s">
        <v>164</v>
      </c>
      <c r="C58" s="4" t="s">
        <v>107</v>
      </c>
      <c r="D58" s="4" t="str">
        <f>D56</f>
        <v>Consum</v>
      </c>
      <c r="E58" s="3" t="s">
        <v>22</v>
      </c>
      <c r="F58" s="3" t="s">
        <v>23</v>
      </c>
      <c r="G58" s="5"/>
      <c r="H58" s="3" t="s">
        <v>104</v>
      </c>
      <c r="I58" s="3" t="s">
        <v>121</v>
      </c>
      <c r="J58" s="6">
        <v>1.2</v>
      </c>
      <c r="K58" s="4" t="s">
        <v>34</v>
      </c>
      <c r="L58" s="9">
        <f>J58/150*1000</f>
        <v>8</v>
      </c>
      <c r="M58" s="4" t="s">
        <v>35</v>
      </c>
      <c r="O58" s="9"/>
      <c r="P58" s="10">
        <f>P39</f>
        <v>46131</v>
      </c>
      <c r="Q58" s="3" t="s">
        <v>28</v>
      </c>
    </row>
    <row r="59" ht="22.5" customHeight="1">
      <c r="A59" s="3" t="s">
        <v>108</v>
      </c>
      <c r="B59" s="4" t="s">
        <v>109</v>
      </c>
      <c r="C59" s="4" t="s">
        <v>110</v>
      </c>
      <c r="D59" s="4" t="str">
        <f t="shared" ref="D59:D60" si="47">D58</f>
        <v>Consum</v>
      </c>
      <c r="E59" s="3" t="s">
        <v>22</v>
      </c>
      <c r="F59" s="3" t="s">
        <v>23</v>
      </c>
      <c r="G59" s="5"/>
      <c r="H59" s="11" t="str">
        <f t="shared" ref="H59:I59" si="46">H58</f>
        <v>snacks</v>
      </c>
      <c r="I59" s="11" t="str">
        <f t="shared" si="46"/>
        <v>Consum</v>
      </c>
      <c r="J59" s="6">
        <v>1.55</v>
      </c>
      <c r="K59" s="4" t="s">
        <v>34</v>
      </c>
      <c r="L59" s="9">
        <f>J59/800*1000</f>
        <v>1.9375</v>
      </c>
      <c r="M59" s="4" t="s">
        <v>35</v>
      </c>
      <c r="O59" s="9"/>
      <c r="P59" s="10">
        <f>P41</f>
        <v>46131</v>
      </c>
      <c r="Q59" s="3" t="s">
        <v>28</v>
      </c>
    </row>
    <row r="60" ht="22.5" customHeight="1">
      <c r="A60" s="3" t="s">
        <v>111</v>
      </c>
      <c r="B60" s="4" t="s">
        <v>165</v>
      </c>
      <c r="C60" s="4" t="s">
        <v>113</v>
      </c>
      <c r="D60" s="4" t="str">
        <f t="shared" si="47"/>
        <v>Consum</v>
      </c>
      <c r="E60" s="3" t="s">
        <v>22</v>
      </c>
      <c r="F60" s="3" t="s">
        <v>23</v>
      </c>
      <c r="G60" s="5"/>
      <c r="H60" s="11" t="str">
        <f t="shared" ref="H60:I60" si="48">H59</f>
        <v>snacks</v>
      </c>
      <c r="I60" s="11" t="str">
        <f t="shared" si="48"/>
        <v>Consum</v>
      </c>
      <c r="J60" s="6">
        <v>1.35</v>
      </c>
      <c r="K60" s="4" t="s">
        <v>34</v>
      </c>
      <c r="L60" s="9">
        <f>J60/225*1000</f>
        <v>6</v>
      </c>
      <c r="M60" s="4" t="s">
        <v>35</v>
      </c>
      <c r="O60" s="9"/>
      <c r="P60" s="10">
        <f t="shared" ref="P60:P62" si="50">P41</f>
        <v>46131</v>
      </c>
      <c r="Q60" s="3" t="s">
        <v>28</v>
      </c>
    </row>
    <row r="61" ht="22.5" customHeight="1">
      <c r="A61" s="3" t="s">
        <v>114</v>
      </c>
      <c r="B61" s="4" t="s">
        <v>166</v>
      </c>
      <c r="C61" s="4" t="s">
        <v>107</v>
      </c>
      <c r="D61" s="4" t="s">
        <v>121</v>
      </c>
      <c r="E61" s="3" t="s">
        <v>22</v>
      </c>
      <c r="F61" s="3" t="s">
        <v>23</v>
      </c>
      <c r="G61" s="5"/>
      <c r="H61" s="11" t="str">
        <f t="shared" ref="H61:I61" si="49">H60</f>
        <v>snacks</v>
      </c>
      <c r="I61" s="11" t="str">
        <f t="shared" si="49"/>
        <v>Consum</v>
      </c>
      <c r="J61" s="6">
        <v>1.39</v>
      </c>
      <c r="K61" s="4" t="s">
        <v>34</v>
      </c>
      <c r="L61" s="9">
        <f>J61/150*1000</f>
        <v>9.266666667</v>
      </c>
      <c r="M61" s="4" t="s">
        <v>35</v>
      </c>
      <c r="O61" s="9"/>
      <c r="P61" s="10">
        <f t="shared" si="50"/>
        <v>46131</v>
      </c>
      <c r="Q61" s="3" t="s">
        <v>28</v>
      </c>
    </row>
    <row r="62" ht="22.5" customHeight="1">
      <c r="A62" s="3" t="s">
        <v>117</v>
      </c>
      <c r="B62" s="4" t="s">
        <v>167</v>
      </c>
      <c r="C62" s="4" t="s">
        <v>119</v>
      </c>
      <c r="D62" s="4" t="str">
        <f>D61</f>
        <v>Consum</v>
      </c>
      <c r="E62" s="3" t="s">
        <v>22</v>
      </c>
      <c r="F62" s="3" t="s">
        <v>23</v>
      </c>
      <c r="G62" s="5"/>
      <c r="H62" s="11" t="str">
        <f t="shared" ref="H62:I62" si="51">H61</f>
        <v>snacks</v>
      </c>
      <c r="I62" s="11" t="str">
        <f t="shared" si="51"/>
        <v>Consum</v>
      </c>
      <c r="J62" s="6">
        <v>1.75</v>
      </c>
      <c r="K62" s="4" t="s">
        <v>34</v>
      </c>
      <c r="L62" s="9">
        <f>J62*10</f>
        <v>17.5</v>
      </c>
      <c r="M62" s="4" t="s">
        <v>35</v>
      </c>
      <c r="O62" s="9"/>
      <c r="P62" s="10">
        <f t="shared" si="50"/>
        <v>46131</v>
      </c>
      <c r="Q62" s="3" t="s">
        <v>28</v>
      </c>
    </row>
    <row r="63" ht="22.5" customHeight="1">
      <c r="A63" s="3" t="s">
        <v>18</v>
      </c>
      <c r="B63" s="4" t="s">
        <v>168</v>
      </c>
      <c r="C63" s="4" t="s">
        <v>20</v>
      </c>
      <c r="D63" s="4" t="s">
        <v>169</v>
      </c>
      <c r="E63" s="3" t="s">
        <v>22</v>
      </c>
      <c r="F63" s="3" t="s">
        <v>23</v>
      </c>
      <c r="G63" s="5"/>
      <c r="H63" s="3" t="s">
        <v>24</v>
      </c>
      <c r="I63" s="3" t="s">
        <v>169</v>
      </c>
      <c r="J63" s="6">
        <v>0.96</v>
      </c>
      <c r="K63" s="4" t="s">
        <v>26</v>
      </c>
      <c r="L63" s="9">
        <f t="shared" ref="L63:L65" si="52">J63</f>
        <v>0.96</v>
      </c>
      <c r="M63" s="4" t="s">
        <v>27</v>
      </c>
      <c r="O63" s="9"/>
      <c r="P63" s="10">
        <f>P31</f>
        <v>46131</v>
      </c>
      <c r="Q63" s="3" t="s">
        <v>28</v>
      </c>
    </row>
    <row r="64" ht="22.5" customHeight="1">
      <c r="A64" s="3" t="s">
        <v>29</v>
      </c>
      <c r="B64" s="4" t="s">
        <v>170</v>
      </c>
      <c r="C64" s="4" t="s">
        <v>20</v>
      </c>
      <c r="D64" s="4" t="str">
        <f>D63</f>
        <v>Carrefour</v>
      </c>
      <c r="E64" s="3" t="s">
        <v>22</v>
      </c>
      <c r="F64" s="3" t="s">
        <v>23</v>
      </c>
      <c r="G64" s="5"/>
      <c r="H64" s="3" t="s">
        <v>24</v>
      </c>
      <c r="I64" s="3" t="s">
        <v>169</v>
      </c>
      <c r="J64" s="6">
        <v>0.84</v>
      </c>
      <c r="K64" s="4" t="s">
        <v>26</v>
      </c>
      <c r="L64" s="7">
        <f t="shared" si="52"/>
        <v>0.84</v>
      </c>
      <c r="M64" s="4" t="s">
        <v>27</v>
      </c>
      <c r="O64" s="9"/>
      <c r="P64" s="10">
        <f t="shared" ref="P64:P67" si="53">P63</f>
        <v>46131</v>
      </c>
      <c r="Q64" s="3" t="s">
        <v>28</v>
      </c>
    </row>
    <row r="65" ht="22.5" customHeight="1">
      <c r="A65" s="3" t="s">
        <v>31</v>
      </c>
      <c r="B65" s="4" t="s">
        <v>32</v>
      </c>
      <c r="C65" s="4" t="s">
        <v>33</v>
      </c>
      <c r="D65" s="4" t="s">
        <v>171</v>
      </c>
      <c r="E65" s="3" t="s">
        <v>22</v>
      </c>
      <c r="F65" s="3" t="s">
        <v>23</v>
      </c>
      <c r="G65" s="5"/>
      <c r="H65" s="3" t="s">
        <v>24</v>
      </c>
      <c r="I65" s="3" t="s">
        <v>169</v>
      </c>
      <c r="J65" s="6">
        <v>2.29</v>
      </c>
      <c r="K65" s="4" t="s">
        <v>34</v>
      </c>
      <c r="L65" s="9">
        <f t="shared" si="52"/>
        <v>2.29</v>
      </c>
      <c r="M65" s="4" t="s">
        <v>35</v>
      </c>
      <c r="O65" s="9"/>
      <c r="P65" s="10">
        <f t="shared" si="53"/>
        <v>46131</v>
      </c>
      <c r="Q65" s="3" t="s">
        <v>28</v>
      </c>
    </row>
    <row r="66" ht="22.5" customHeight="1">
      <c r="A66" s="3" t="s">
        <v>36</v>
      </c>
      <c r="B66" s="4" t="s">
        <v>172</v>
      </c>
      <c r="C66" s="4" t="s">
        <v>125</v>
      </c>
      <c r="D66" s="4" t="s">
        <v>173</v>
      </c>
      <c r="E66" s="3" t="s">
        <v>22</v>
      </c>
      <c r="F66" s="3" t="s">
        <v>23</v>
      </c>
      <c r="G66" s="5"/>
      <c r="H66" s="3" t="s">
        <v>24</v>
      </c>
      <c r="I66" s="3" t="s">
        <v>169</v>
      </c>
      <c r="J66" s="6">
        <v>0.85</v>
      </c>
      <c r="K66" s="4" t="s">
        <v>34</v>
      </c>
      <c r="L66" s="9">
        <f>J66/(125*4)*1000</f>
        <v>1.7</v>
      </c>
      <c r="M66" s="4" t="s">
        <v>35</v>
      </c>
      <c r="O66" s="9"/>
      <c r="P66" s="10">
        <f t="shared" si="53"/>
        <v>46131</v>
      </c>
      <c r="Q66" s="3" t="s">
        <v>28</v>
      </c>
    </row>
    <row r="67" ht="22.5" customHeight="1">
      <c r="A67" s="3" t="s">
        <v>39</v>
      </c>
      <c r="B67" s="4" t="s">
        <v>172</v>
      </c>
      <c r="C67" s="4" t="s">
        <v>41</v>
      </c>
      <c r="D67" s="4" t="s">
        <v>42</v>
      </c>
      <c r="E67" s="3" t="s">
        <v>43</v>
      </c>
      <c r="F67" s="3" t="s">
        <v>23</v>
      </c>
      <c r="G67" s="5"/>
      <c r="H67" s="3" t="s">
        <v>24</v>
      </c>
      <c r="I67" s="3" t="s">
        <v>169</v>
      </c>
      <c r="J67" s="6">
        <v>1.95</v>
      </c>
      <c r="K67" s="4" t="s">
        <v>34</v>
      </c>
      <c r="L67" s="9">
        <f>J67/(8*120)*1000</f>
        <v>2.03125</v>
      </c>
      <c r="M67" s="4" t="str">
        <f>M66</f>
        <v>€/kg</v>
      </c>
      <c r="O67" s="9"/>
      <c r="P67" s="10">
        <f t="shared" si="53"/>
        <v>46131</v>
      </c>
      <c r="Q67" s="3" t="s">
        <v>28</v>
      </c>
    </row>
    <row r="68" ht="22.5" customHeight="1">
      <c r="A68" s="3" t="s">
        <v>44</v>
      </c>
      <c r="B68" s="4" t="s">
        <v>174</v>
      </c>
      <c r="C68" s="4" t="s">
        <v>46</v>
      </c>
      <c r="D68" s="4" t="str">
        <f>D66</f>
        <v>Carrefour Classic</v>
      </c>
      <c r="E68" s="3" t="s">
        <v>22</v>
      </c>
      <c r="F68" s="3" t="s">
        <v>23</v>
      </c>
      <c r="G68" s="4" t="s">
        <v>128</v>
      </c>
      <c r="H68" s="3" t="s">
        <v>24</v>
      </c>
      <c r="I68" s="3" t="s">
        <v>169</v>
      </c>
      <c r="J68" s="6">
        <v>2.09</v>
      </c>
      <c r="K68" s="4" t="s">
        <v>34</v>
      </c>
      <c r="L68" s="9">
        <f>J68/300*1000</f>
        <v>6.966666667</v>
      </c>
      <c r="M68" s="4" t="s">
        <v>35</v>
      </c>
      <c r="O68" s="9"/>
      <c r="P68" s="10">
        <f>P66</f>
        <v>46131</v>
      </c>
      <c r="Q68" s="3" t="s">
        <v>28</v>
      </c>
    </row>
    <row r="69" ht="22.5" customHeight="1">
      <c r="A69" s="3" t="s">
        <v>47</v>
      </c>
      <c r="B69" s="4" t="s">
        <v>175</v>
      </c>
      <c r="C69" s="4" t="s">
        <v>49</v>
      </c>
      <c r="D69" s="4" t="str">
        <f>D66</f>
        <v>Carrefour Classic</v>
      </c>
      <c r="E69" s="3" t="s">
        <v>22</v>
      </c>
      <c r="F69" s="3" t="s">
        <v>23</v>
      </c>
      <c r="G69" s="5"/>
      <c r="H69" s="3" t="s">
        <v>24</v>
      </c>
      <c r="I69" s="3" t="s">
        <v>169</v>
      </c>
      <c r="J69" s="6">
        <v>1.65</v>
      </c>
      <c r="K69" s="4" t="s">
        <v>34</v>
      </c>
      <c r="L69" s="9">
        <f>J69/200*1000</f>
        <v>8.25</v>
      </c>
      <c r="M69" s="4" t="s">
        <v>35</v>
      </c>
      <c r="O69" s="9"/>
      <c r="P69" s="10">
        <f t="shared" ref="P69:P72" si="54">P68</f>
        <v>46131</v>
      </c>
      <c r="Q69" s="3" t="s">
        <v>28</v>
      </c>
    </row>
    <row r="70" ht="22.5" customHeight="1">
      <c r="A70" s="3" t="s">
        <v>50</v>
      </c>
      <c r="B70" s="4" t="s">
        <v>176</v>
      </c>
      <c r="C70" s="4" t="s">
        <v>52</v>
      </c>
      <c r="D70" s="4" t="s">
        <v>169</v>
      </c>
      <c r="E70" s="3" t="s">
        <v>22</v>
      </c>
      <c r="F70" s="3" t="s">
        <v>23</v>
      </c>
      <c r="G70" s="5"/>
      <c r="H70" s="3" t="s">
        <v>53</v>
      </c>
      <c r="I70" s="3" t="s">
        <v>169</v>
      </c>
      <c r="J70" s="6">
        <v>1.5</v>
      </c>
      <c r="K70" s="4" t="s">
        <v>34</v>
      </c>
      <c r="L70" s="9">
        <f t="shared" ref="L70:L71" si="55">J70*2</f>
        <v>3</v>
      </c>
      <c r="M70" s="4" t="s">
        <v>35</v>
      </c>
      <c r="O70" s="9"/>
      <c r="P70" s="10">
        <f t="shared" si="54"/>
        <v>46131</v>
      </c>
      <c r="Q70" s="3" t="s">
        <v>28</v>
      </c>
    </row>
    <row r="71" ht="22.5" customHeight="1">
      <c r="A71" s="3" t="s">
        <v>57</v>
      </c>
      <c r="B71" s="4" t="s">
        <v>177</v>
      </c>
      <c r="C71" s="4" t="s">
        <v>52</v>
      </c>
      <c r="D71" s="4" t="s">
        <v>178</v>
      </c>
      <c r="E71" s="3" t="s">
        <v>22</v>
      </c>
      <c r="F71" s="3" t="s">
        <v>23</v>
      </c>
      <c r="G71" s="5"/>
      <c r="H71" s="3" t="s">
        <v>53</v>
      </c>
      <c r="I71" s="3" t="s">
        <v>169</v>
      </c>
      <c r="J71" s="6">
        <v>1.99</v>
      </c>
      <c r="K71" s="4" t="s">
        <v>34</v>
      </c>
      <c r="L71" s="9">
        <f t="shared" si="55"/>
        <v>3.98</v>
      </c>
      <c r="M71" s="4" t="s">
        <v>35</v>
      </c>
      <c r="O71" s="9"/>
      <c r="P71" s="10">
        <f t="shared" si="54"/>
        <v>46131</v>
      </c>
      <c r="Q71" s="3" t="s">
        <v>28</v>
      </c>
    </row>
    <row r="72" ht="22.5" customHeight="1">
      <c r="A72" s="3" t="s">
        <v>59</v>
      </c>
      <c r="B72" s="4" t="s">
        <v>60</v>
      </c>
      <c r="C72" s="4" t="s">
        <v>20</v>
      </c>
      <c r="D72" s="4" t="s">
        <v>61</v>
      </c>
      <c r="E72" s="3" t="s">
        <v>43</v>
      </c>
      <c r="F72" s="3" t="s">
        <v>23</v>
      </c>
      <c r="G72" s="5"/>
      <c r="H72" s="3" t="s">
        <v>53</v>
      </c>
      <c r="I72" s="3" t="s">
        <v>169</v>
      </c>
      <c r="J72" s="6">
        <v>5.2</v>
      </c>
      <c r="K72" s="4" t="s">
        <v>26</v>
      </c>
      <c r="L72" s="9">
        <f t="shared" ref="L72:L73" si="56">J72</f>
        <v>5.2</v>
      </c>
      <c r="M72" s="4" t="s">
        <v>27</v>
      </c>
      <c r="O72" s="9"/>
      <c r="P72" s="10">
        <f t="shared" si="54"/>
        <v>46131</v>
      </c>
      <c r="Q72" s="3" t="s">
        <v>28</v>
      </c>
    </row>
    <row r="73" ht="22.5" customHeight="1">
      <c r="A73" s="3" t="s">
        <v>62</v>
      </c>
      <c r="B73" s="4" t="s">
        <v>179</v>
      </c>
      <c r="C73" s="4" t="s">
        <v>20</v>
      </c>
      <c r="D73" s="4" t="s">
        <v>169</v>
      </c>
      <c r="E73" s="3" t="s">
        <v>22</v>
      </c>
      <c r="F73" s="3" t="s">
        <v>23</v>
      </c>
      <c r="G73" s="5"/>
      <c r="H73" s="3" t="s">
        <v>53</v>
      </c>
      <c r="I73" s="3" t="s">
        <v>169</v>
      </c>
      <c r="J73" s="6">
        <v>1.85</v>
      </c>
      <c r="K73" s="4" t="s">
        <v>26</v>
      </c>
      <c r="L73" s="9">
        <f t="shared" si="56"/>
        <v>1.85</v>
      </c>
      <c r="M73" s="4" t="s">
        <v>27</v>
      </c>
      <c r="O73" s="9"/>
      <c r="P73" s="10">
        <f>P71</f>
        <v>46131</v>
      </c>
      <c r="Q73" s="3" t="s">
        <v>28</v>
      </c>
    </row>
    <row r="74" ht="22.5" customHeight="1">
      <c r="A74" s="3" t="s">
        <v>64</v>
      </c>
      <c r="B74" s="4" t="s">
        <v>65</v>
      </c>
      <c r="C74" s="4" t="s">
        <v>66</v>
      </c>
      <c r="D74" s="4" t="s">
        <v>173</v>
      </c>
      <c r="E74" s="3" t="s">
        <v>22</v>
      </c>
      <c r="F74" s="3" t="s">
        <v>23</v>
      </c>
      <c r="G74" s="5"/>
      <c r="H74" s="3" t="s">
        <v>53</v>
      </c>
      <c r="I74" s="3" t="s">
        <v>169</v>
      </c>
      <c r="J74" s="6">
        <v>2.47</v>
      </c>
      <c r="K74" s="4" t="s">
        <v>34</v>
      </c>
      <c r="L74" s="9">
        <f>J74/250*1000</f>
        <v>9.88</v>
      </c>
      <c r="M74" s="4" t="s">
        <v>35</v>
      </c>
      <c r="O74" s="9"/>
      <c r="P74" s="10">
        <f t="shared" ref="P74:P77" si="57">P73</f>
        <v>46131</v>
      </c>
      <c r="Q74" s="3" t="s">
        <v>28</v>
      </c>
    </row>
    <row r="75" ht="22.5" customHeight="1">
      <c r="A75" s="3" t="s">
        <v>67</v>
      </c>
      <c r="B75" s="4" t="s">
        <v>180</v>
      </c>
      <c r="C75" s="4" t="s">
        <v>69</v>
      </c>
      <c r="D75" s="4" t="s">
        <v>171</v>
      </c>
      <c r="E75" s="3" t="s">
        <v>22</v>
      </c>
      <c r="F75" s="3" t="s">
        <v>23</v>
      </c>
      <c r="G75" s="5"/>
      <c r="H75" s="3" t="s">
        <v>53</v>
      </c>
      <c r="I75" s="3" t="s">
        <v>169</v>
      </c>
      <c r="J75" s="6">
        <v>3.51</v>
      </c>
      <c r="K75" s="4" t="s">
        <v>10</v>
      </c>
      <c r="L75" s="9">
        <f>J75/16</f>
        <v>0.219375</v>
      </c>
      <c r="M75" s="4" t="s">
        <v>70</v>
      </c>
      <c r="O75" s="9"/>
      <c r="P75" s="10">
        <f t="shared" si="57"/>
        <v>46131</v>
      </c>
      <c r="Q75" s="3" t="s">
        <v>28</v>
      </c>
    </row>
    <row r="76" ht="22.5" customHeight="1">
      <c r="A76" s="3" t="s">
        <v>71</v>
      </c>
      <c r="B76" s="4" t="s">
        <v>181</v>
      </c>
      <c r="C76" s="4" t="s">
        <v>182</v>
      </c>
      <c r="D76" s="4" t="s">
        <v>183</v>
      </c>
      <c r="E76" s="3" t="s">
        <v>22</v>
      </c>
      <c r="F76" s="3" t="s">
        <v>23</v>
      </c>
      <c r="G76" s="5"/>
      <c r="H76" s="3" t="s">
        <v>75</v>
      </c>
      <c r="I76" s="3" t="s">
        <v>169</v>
      </c>
      <c r="J76" s="6">
        <v>4.35</v>
      </c>
      <c r="K76" s="4" t="s">
        <v>10</v>
      </c>
      <c r="L76" s="9">
        <f>J76/40</f>
        <v>0.10875</v>
      </c>
      <c r="M76" s="4" t="s">
        <v>70</v>
      </c>
      <c r="N76" s="4">
        <v>40.0</v>
      </c>
      <c r="O76" s="9">
        <f t="shared" ref="O76:O80" si="58">J76/N76</f>
        <v>0.10875</v>
      </c>
      <c r="P76" s="10">
        <f t="shared" si="57"/>
        <v>46131</v>
      </c>
      <c r="Q76" s="3" t="s">
        <v>28</v>
      </c>
    </row>
    <row r="77" ht="22.5" customHeight="1">
      <c r="A77" s="3" t="s">
        <v>76</v>
      </c>
      <c r="B77" s="4" t="s">
        <v>184</v>
      </c>
      <c r="C77" s="4" t="s">
        <v>73</v>
      </c>
      <c r="D77" s="4" t="s">
        <v>78</v>
      </c>
      <c r="E77" s="3" t="s">
        <v>43</v>
      </c>
      <c r="F77" s="3" t="s">
        <v>23</v>
      </c>
      <c r="G77" s="5"/>
      <c r="H77" s="3" t="s">
        <v>75</v>
      </c>
      <c r="I77" s="3" t="s">
        <v>169</v>
      </c>
      <c r="J77" s="6">
        <v>18.75</v>
      </c>
      <c r="K77" s="4" t="str">
        <f>K76</f>
        <v>unit</v>
      </c>
      <c r="L77" s="9">
        <f>J77/30</f>
        <v>0.625</v>
      </c>
      <c r="M77" s="4" t="str">
        <f>M76</f>
        <v>€/unit</v>
      </c>
      <c r="N77" s="4">
        <v>30.0</v>
      </c>
      <c r="O77" s="9">
        <f t="shared" si="58"/>
        <v>0.625</v>
      </c>
      <c r="P77" s="10">
        <f t="shared" si="57"/>
        <v>46131</v>
      </c>
      <c r="Q77" s="3" t="s">
        <v>28</v>
      </c>
    </row>
    <row r="78" ht="22.5" customHeight="1">
      <c r="A78" s="3" t="s">
        <v>79</v>
      </c>
      <c r="B78" s="4" t="s">
        <v>185</v>
      </c>
      <c r="C78" s="4" t="s">
        <v>186</v>
      </c>
      <c r="D78" s="4" t="str">
        <f t="shared" ref="D78:E78" si="59">D76</f>
        <v>Carrefour Expert</v>
      </c>
      <c r="E78" s="11" t="str">
        <f t="shared" si="59"/>
        <v>yes</v>
      </c>
      <c r="F78" s="3" t="s">
        <v>23</v>
      </c>
      <c r="G78" s="5"/>
      <c r="H78" s="11" t="str">
        <f t="shared" ref="H78:I78" si="60">H76</f>
        <v>cleaning</v>
      </c>
      <c r="I78" s="11" t="str">
        <f t="shared" si="60"/>
        <v>Carrefour</v>
      </c>
      <c r="J78" s="6">
        <v>4.25</v>
      </c>
      <c r="K78" s="4" t="s">
        <v>26</v>
      </c>
      <c r="L78" s="9">
        <f>J78/900*1000</f>
        <v>4.722222222</v>
      </c>
      <c r="M78" s="4" t="s">
        <v>27</v>
      </c>
      <c r="N78" s="4">
        <v>45.0</v>
      </c>
      <c r="O78" s="9">
        <f t="shared" si="58"/>
        <v>0.09444444444</v>
      </c>
      <c r="P78" s="10">
        <f>P76</f>
        <v>46131</v>
      </c>
      <c r="Q78" s="3" t="s">
        <v>28</v>
      </c>
    </row>
    <row r="79" ht="22.5" customHeight="1">
      <c r="A79" s="3" t="s">
        <v>82</v>
      </c>
      <c r="B79" s="4" t="s">
        <v>187</v>
      </c>
      <c r="C79" s="4" t="s">
        <v>188</v>
      </c>
      <c r="D79" s="4" t="str">
        <f>D78</f>
        <v>Carrefour Expert</v>
      </c>
      <c r="E79" s="3" t="s">
        <v>22</v>
      </c>
      <c r="F79" s="3" t="s">
        <v>23</v>
      </c>
      <c r="G79" s="5"/>
      <c r="H79" s="3" t="s">
        <v>75</v>
      </c>
      <c r="I79" s="3" t="s">
        <v>169</v>
      </c>
      <c r="J79" s="6">
        <v>4.15</v>
      </c>
      <c r="K79" s="4" t="s">
        <v>26</v>
      </c>
      <c r="L79" s="9">
        <f>J79/2.2</f>
        <v>1.886363636</v>
      </c>
      <c r="M79" s="4" t="s">
        <v>27</v>
      </c>
      <c r="N79" s="4">
        <v>44.0</v>
      </c>
      <c r="O79" s="9">
        <f t="shared" si="58"/>
        <v>0.09431818182</v>
      </c>
      <c r="P79" s="10">
        <f t="shared" ref="P79:P86" si="61">P78</f>
        <v>46131</v>
      </c>
      <c r="Q79" s="3" t="s">
        <v>28</v>
      </c>
    </row>
    <row r="80" ht="22.5" customHeight="1">
      <c r="A80" s="3" t="s">
        <v>85</v>
      </c>
      <c r="B80" s="4" t="s">
        <v>189</v>
      </c>
      <c r="C80" s="4" t="s">
        <v>73</v>
      </c>
      <c r="D80" s="4" t="s">
        <v>190</v>
      </c>
      <c r="E80" s="3" t="s">
        <v>22</v>
      </c>
      <c r="F80" s="3" t="s">
        <v>23</v>
      </c>
      <c r="G80" s="5"/>
      <c r="H80" s="3" t="s">
        <v>75</v>
      </c>
      <c r="I80" s="3" t="s">
        <v>169</v>
      </c>
      <c r="J80" s="6">
        <v>5.85</v>
      </c>
      <c r="K80" s="4" t="s">
        <v>10</v>
      </c>
      <c r="L80" s="9">
        <f>J80/30</f>
        <v>0.195</v>
      </c>
      <c r="M80" s="4" t="s">
        <v>70</v>
      </c>
      <c r="N80" s="4">
        <v>30.0</v>
      </c>
      <c r="O80" s="9">
        <f t="shared" si="58"/>
        <v>0.195</v>
      </c>
      <c r="P80" s="10">
        <f t="shared" si="61"/>
        <v>46131</v>
      </c>
      <c r="Q80" s="3" t="s">
        <v>28</v>
      </c>
    </row>
    <row r="81" ht="22.5" customHeight="1">
      <c r="A81" s="3" t="s">
        <v>92</v>
      </c>
      <c r="B81" s="4" t="s">
        <v>191</v>
      </c>
      <c r="C81" s="4" t="s">
        <v>90</v>
      </c>
      <c r="D81" s="4" t="s">
        <v>192</v>
      </c>
      <c r="E81" s="3" t="s">
        <v>22</v>
      </c>
      <c r="F81" s="3" t="s">
        <v>23</v>
      </c>
      <c r="G81" s="5"/>
      <c r="H81" s="3" t="s">
        <v>91</v>
      </c>
      <c r="I81" s="3" t="s">
        <v>169</v>
      </c>
      <c r="J81" s="6">
        <v>3.19</v>
      </c>
      <c r="K81" s="4" t="s">
        <v>10</v>
      </c>
      <c r="L81" s="9">
        <f t="shared" ref="L81:L82" si="62">J81/12</f>
        <v>0.2658333333</v>
      </c>
      <c r="M81" s="4" t="s">
        <v>70</v>
      </c>
      <c r="O81" s="9"/>
      <c r="P81" s="10">
        <f t="shared" si="61"/>
        <v>46131</v>
      </c>
      <c r="Q81" s="3" t="s">
        <v>28</v>
      </c>
    </row>
    <row r="82" ht="22.5" customHeight="1">
      <c r="A82" s="3" t="s">
        <v>94</v>
      </c>
      <c r="B82" s="4" t="s">
        <v>193</v>
      </c>
      <c r="C82" s="4" t="s">
        <v>90</v>
      </c>
      <c r="D82" s="12" t="str">
        <f t="shared" ref="D82:D83" si="63">D81</f>
        <v>Carrefour El Mercado</v>
      </c>
      <c r="E82" s="3" t="s">
        <v>22</v>
      </c>
      <c r="F82" s="3" t="s">
        <v>23</v>
      </c>
      <c r="G82" s="5"/>
      <c r="H82" s="3" t="s">
        <v>91</v>
      </c>
      <c r="I82" s="3" t="s">
        <v>169</v>
      </c>
      <c r="J82" s="6">
        <v>3.99</v>
      </c>
      <c r="K82" s="4" t="s">
        <v>10</v>
      </c>
      <c r="L82" s="9">
        <f t="shared" si="62"/>
        <v>0.3325</v>
      </c>
      <c r="M82" s="4" t="s">
        <v>70</v>
      </c>
      <c r="O82" s="9"/>
      <c r="P82" s="10">
        <f t="shared" si="61"/>
        <v>46131</v>
      </c>
      <c r="Q82" s="3" t="s">
        <v>28</v>
      </c>
    </row>
    <row r="83" ht="22.5" customHeight="1">
      <c r="A83" s="3" t="s">
        <v>96</v>
      </c>
      <c r="B83" s="4" t="s">
        <v>194</v>
      </c>
      <c r="C83" s="4" t="s">
        <v>98</v>
      </c>
      <c r="D83" s="12" t="str">
        <f t="shared" si="63"/>
        <v>Carrefour El Mercado</v>
      </c>
      <c r="E83" s="3" t="s">
        <v>22</v>
      </c>
      <c r="F83" s="3" t="s">
        <v>23</v>
      </c>
      <c r="G83" s="5"/>
      <c r="H83" s="3" t="s">
        <v>91</v>
      </c>
      <c r="I83" s="3" t="s">
        <v>169</v>
      </c>
      <c r="J83" s="6">
        <v>3.24</v>
      </c>
      <c r="K83" s="4" t="s">
        <v>34</v>
      </c>
      <c r="L83" s="9">
        <f>J83*2</f>
        <v>6.48</v>
      </c>
      <c r="M83" s="4" t="s">
        <v>35</v>
      </c>
      <c r="O83" s="9"/>
      <c r="P83" s="10">
        <f t="shared" si="61"/>
        <v>46131</v>
      </c>
      <c r="Q83" s="3" t="s">
        <v>28</v>
      </c>
    </row>
    <row r="84" ht="22.5" customHeight="1">
      <c r="A84" s="3" t="s">
        <v>99</v>
      </c>
      <c r="B84" s="4" t="s">
        <v>195</v>
      </c>
      <c r="C84" s="4" t="s">
        <v>33</v>
      </c>
      <c r="D84" s="4" t="s">
        <v>101</v>
      </c>
      <c r="E84" s="3" t="s">
        <v>43</v>
      </c>
      <c r="F84" s="3" t="s">
        <v>23</v>
      </c>
      <c r="G84" s="5"/>
      <c r="H84" s="3" t="s">
        <v>91</v>
      </c>
      <c r="I84" s="3" t="s">
        <v>169</v>
      </c>
      <c r="J84" s="6">
        <v>1.49</v>
      </c>
      <c r="K84" s="4" t="s">
        <v>34</v>
      </c>
      <c r="L84" s="9">
        <f>J84</f>
        <v>1.49</v>
      </c>
      <c r="M84" s="4" t="s">
        <v>35</v>
      </c>
      <c r="O84" s="9"/>
      <c r="P84" s="10">
        <f t="shared" si="61"/>
        <v>46131</v>
      </c>
      <c r="Q84" s="3" t="s">
        <v>28</v>
      </c>
    </row>
    <row r="85" ht="22.5" customHeight="1">
      <c r="A85" s="3" t="s">
        <v>102</v>
      </c>
      <c r="B85" s="4" t="s">
        <v>196</v>
      </c>
      <c r="C85" s="4" t="s">
        <v>159</v>
      </c>
      <c r="D85" s="4" t="s">
        <v>169</v>
      </c>
      <c r="E85" s="3" t="s">
        <v>22</v>
      </c>
      <c r="F85" s="3" t="s">
        <v>23</v>
      </c>
      <c r="G85" s="5"/>
      <c r="H85" s="3" t="s">
        <v>104</v>
      </c>
      <c r="I85" s="3" t="s">
        <v>169</v>
      </c>
      <c r="J85" s="6">
        <v>1.9</v>
      </c>
      <c r="K85" s="4" t="s">
        <v>34</v>
      </c>
      <c r="L85" s="9">
        <f>J85/(150*2)*1000</f>
        <v>6.333333333</v>
      </c>
      <c r="M85" s="4" t="s">
        <v>35</v>
      </c>
      <c r="O85" s="9"/>
      <c r="P85" s="10">
        <f t="shared" si="61"/>
        <v>46131</v>
      </c>
      <c r="Q85" s="3" t="s">
        <v>28</v>
      </c>
    </row>
    <row r="86" ht="22.5" customHeight="1">
      <c r="A86" s="3" t="s">
        <v>160</v>
      </c>
      <c r="B86" s="4" t="s">
        <v>197</v>
      </c>
      <c r="C86" s="4" t="s">
        <v>162</v>
      </c>
      <c r="D86" s="4" t="s">
        <v>163</v>
      </c>
      <c r="E86" s="3" t="s">
        <v>43</v>
      </c>
      <c r="F86" s="3" t="s">
        <v>23</v>
      </c>
      <c r="G86" s="5"/>
      <c r="H86" s="3" t="s">
        <v>104</v>
      </c>
      <c r="I86" s="3" t="s">
        <v>169</v>
      </c>
      <c r="J86" s="6">
        <v>2.89</v>
      </c>
      <c r="K86" s="4" t="str">
        <f>K85</f>
        <v>kg</v>
      </c>
      <c r="L86" s="9">
        <f>J86/248*1000</f>
        <v>11.65322581</v>
      </c>
      <c r="M86" s="4" t="str">
        <f>M85</f>
        <v>€/kg</v>
      </c>
      <c r="O86" s="9"/>
      <c r="P86" s="10">
        <f t="shared" si="61"/>
        <v>46131</v>
      </c>
      <c r="Q86" s="3" t="s">
        <v>28</v>
      </c>
    </row>
    <row r="87" ht="22.5" customHeight="1">
      <c r="A87" s="3" t="s">
        <v>105</v>
      </c>
      <c r="B87" s="4" t="s">
        <v>198</v>
      </c>
      <c r="C87" s="4" t="s">
        <v>107</v>
      </c>
      <c r="D87" s="4" t="s">
        <v>199</v>
      </c>
      <c r="E87" s="3" t="s">
        <v>22</v>
      </c>
      <c r="F87" s="3" t="s">
        <v>23</v>
      </c>
      <c r="G87" s="5"/>
      <c r="H87" s="3" t="s">
        <v>104</v>
      </c>
      <c r="I87" s="3" t="s">
        <v>169</v>
      </c>
      <c r="J87" s="6">
        <v>1.2</v>
      </c>
      <c r="K87" s="4" t="s">
        <v>34</v>
      </c>
      <c r="L87" s="9">
        <f>J87/150*1000</f>
        <v>8</v>
      </c>
      <c r="M87" s="4" t="s">
        <v>35</v>
      </c>
      <c r="O87" s="9"/>
      <c r="P87" s="10">
        <f>P85</f>
        <v>46131</v>
      </c>
      <c r="Q87" s="3" t="s">
        <v>28</v>
      </c>
    </row>
    <row r="88" ht="22.5" customHeight="1">
      <c r="A88" s="3" t="s">
        <v>108</v>
      </c>
      <c r="B88" s="4" t="s">
        <v>109</v>
      </c>
      <c r="C88" s="4" t="s">
        <v>110</v>
      </c>
      <c r="D88" s="12" t="str">
        <f>D87</f>
        <v>Carrefour Sensation</v>
      </c>
      <c r="E88" s="3" t="s">
        <v>22</v>
      </c>
      <c r="F88" s="3" t="s">
        <v>23</v>
      </c>
      <c r="G88" s="5"/>
      <c r="H88" s="3" t="s">
        <v>104</v>
      </c>
      <c r="I88" s="3" t="s">
        <v>169</v>
      </c>
      <c r="J88" s="6">
        <v>1.55</v>
      </c>
      <c r="K88" s="4" t="s">
        <v>34</v>
      </c>
      <c r="L88" s="9">
        <f>J88/800*1000</f>
        <v>1.9375</v>
      </c>
      <c r="M88" s="4" t="s">
        <v>35</v>
      </c>
      <c r="O88" s="9"/>
      <c r="P88" s="10">
        <f t="shared" ref="P88:P96" si="64">P87</f>
        <v>46131</v>
      </c>
      <c r="Q88" s="3" t="s">
        <v>28</v>
      </c>
    </row>
    <row r="89" ht="22.5" customHeight="1">
      <c r="A89" s="3" t="s">
        <v>111</v>
      </c>
      <c r="B89" s="4" t="s">
        <v>200</v>
      </c>
      <c r="C89" s="4" t="s">
        <v>113</v>
      </c>
      <c r="D89" s="4" t="s">
        <v>173</v>
      </c>
      <c r="E89" s="3" t="s">
        <v>22</v>
      </c>
      <c r="F89" s="3" t="s">
        <v>23</v>
      </c>
      <c r="G89" s="5"/>
      <c r="H89" s="3" t="s">
        <v>104</v>
      </c>
      <c r="I89" s="3" t="s">
        <v>169</v>
      </c>
      <c r="J89" s="6">
        <v>1.45</v>
      </c>
      <c r="K89" s="4" t="s">
        <v>34</v>
      </c>
      <c r="L89" s="9">
        <f>J89/225*1000</f>
        <v>6.444444444</v>
      </c>
      <c r="M89" s="4" t="s">
        <v>35</v>
      </c>
      <c r="O89" s="9"/>
      <c r="P89" s="10">
        <f t="shared" si="64"/>
        <v>46131</v>
      </c>
      <c r="Q89" s="3" t="s">
        <v>28</v>
      </c>
    </row>
    <row r="90" ht="22.5" customHeight="1">
      <c r="A90" s="3" t="s">
        <v>114</v>
      </c>
      <c r="B90" s="4" t="s">
        <v>201</v>
      </c>
      <c r="C90" s="4" t="s">
        <v>107</v>
      </c>
      <c r="D90" s="4" t="str">
        <f>D89</f>
        <v>Carrefour Classic</v>
      </c>
      <c r="E90" s="3" t="s">
        <v>22</v>
      </c>
      <c r="F90" s="3" t="s">
        <v>23</v>
      </c>
      <c r="G90" s="5"/>
      <c r="H90" s="3" t="s">
        <v>104</v>
      </c>
      <c r="I90" s="3" t="s">
        <v>169</v>
      </c>
      <c r="J90" s="6">
        <v>1.36</v>
      </c>
      <c r="K90" s="4" t="s">
        <v>34</v>
      </c>
      <c r="L90" s="9">
        <f>J90/150*1000</f>
        <v>9.066666667</v>
      </c>
      <c r="M90" s="4" t="s">
        <v>35</v>
      </c>
      <c r="O90" s="9"/>
      <c r="P90" s="10">
        <f t="shared" si="64"/>
        <v>46131</v>
      </c>
      <c r="Q90" s="3" t="s">
        <v>28</v>
      </c>
    </row>
    <row r="91" ht="22.5" customHeight="1">
      <c r="A91" s="3" t="s">
        <v>117</v>
      </c>
      <c r="B91" s="4" t="s">
        <v>202</v>
      </c>
      <c r="C91" s="4" t="s">
        <v>119</v>
      </c>
      <c r="D91" s="4" t="s">
        <v>203</v>
      </c>
      <c r="E91" s="3" t="s">
        <v>22</v>
      </c>
      <c r="F91" s="3" t="s">
        <v>23</v>
      </c>
      <c r="G91" s="5"/>
      <c r="H91" s="3" t="s">
        <v>104</v>
      </c>
      <c r="I91" s="3" t="s">
        <v>169</v>
      </c>
      <c r="J91" s="6">
        <v>1.95</v>
      </c>
      <c r="K91" s="4" t="s">
        <v>34</v>
      </c>
      <c r="L91" s="9">
        <f>J91/100*1000</f>
        <v>19.5</v>
      </c>
      <c r="M91" s="4" t="s">
        <v>35</v>
      </c>
      <c r="O91" s="9"/>
      <c r="P91" s="10">
        <f t="shared" si="64"/>
        <v>46131</v>
      </c>
      <c r="Q91" s="3" t="s">
        <v>28</v>
      </c>
    </row>
    <row r="92" ht="22.5" customHeight="1">
      <c r="A92" s="3" t="s">
        <v>18</v>
      </c>
      <c r="B92" s="4" t="s">
        <v>19</v>
      </c>
      <c r="C92" s="4" t="s">
        <v>20</v>
      </c>
      <c r="D92" s="4" t="s">
        <v>204</v>
      </c>
      <c r="E92" s="3" t="s">
        <v>22</v>
      </c>
      <c r="F92" s="3" t="s">
        <v>23</v>
      </c>
      <c r="G92" s="5"/>
      <c r="H92" s="3" t="s">
        <v>24</v>
      </c>
      <c r="I92" s="3" t="s">
        <v>205</v>
      </c>
      <c r="J92" s="6">
        <v>0.96</v>
      </c>
      <c r="K92" s="4" t="s">
        <v>26</v>
      </c>
      <c r="L92" s="9">
        <f t="shared" ref="L92:L95" si="65">J92</f>
        <v>0.96</v>
      </c>
      <c r="M92" s="4" t="s">
        <v>27</v>
      </c>
      <c r="O92" s="9"/>
      <c r="P92" s="10">
        <f t="shared" si="64"/>
        <v>46131</v>
      </c>
      <c r="Q92" s="3" t="s">
        <v>28</v>
      </c>
    </row>
    <row r="93" ht="22.5" customHeight="1">
      <c r="A93" s="3" t="s">
        <v>29</v>
      </c>
      <c r="B93" s="4" t="s">
        <v>30</v>
      </c>
      <c r="C93" s="4" t="s">
        <v>20</v>
      </c>
      <c r="D93" s="12" t="str">
        <f>D92</f>
        <v>Dia Láctea</v>
      </c>
      <c r="E93" s="3" t="s">
        <v>22</v>
      </c>
      <c r="F93" s="3" t="s">
        <v>23</v>
      </c>
      <c r="G93" s="5"/>
      <c r="H93" s="3" t="s">
        <v>24</v>
      </c>
      <c r="I93" s="3" t="s">
        <v>205</v>
      </c>
      <c r="J93" s="6">
        <v>0.84</v>
      </c>
      <c r="K93" s="4" t="s">
        <v>26</v>
      </c>
      <c r="L93" s="9">
        <f t="shared" si="65"/>
        <v>0.84</v>
      </c>
      <c r="M93" s="4" t="s">
        <v>27</v>
      </c>
      <c r="O93" s="9"/>
      <c r="P93" s="10">
        <f t="shared" si="64"/>
        <v>46131</v>
      </c>
      <c r="Q93" s="3" t="s">
        <v>28</v>
      </c>
    </row>
    <row r="94" ht="22.5" customHeight="1">
      <c r="A94" s="3" t="s">
        <v>31</v>
      </c>
      <c r="B94" s="4" t="s">
        <v>206</v>
      </c>
      <c r="C94" s="4" t="s">
        <v>33</v>
      </c>
      <c r="D94" s="4" t="s">
        <v>207</v>
      </c>
      <c r="E94" s="3" t="s">
        <v>22</v>
      </c>
      <c r="F94" s="3" t="s">
        <v>23</v>
      </c>
      <c r="G94" s="5"/>
      <c r="H94" s="3" t="s">
        <v>24</v>
      </c>
      <c r="I94" s="3" t="s">
        <v>205</v>
      </c>
      <c r="J94" s="6">
        <v>2.29</v>
      </c>
      <c r="K94" s="4" t="s">
        <v>34</v>
      </c>
      <c r="L94" s="9">
        <f t="shared" si="65"/>
        <v>2.29</v>
      </c>
      <c r="M94" s="4" t="s">
        <v>35</v>
      </c>
      <c r="O94" s="9"/>
      <c r="P94" s="10">
        <f t="shared" si="64"/>
        <v>46131</v>
      </c>
      <c r="Q94" s="3" t="s">
        <v>28</v>
      </c>
    </row>
    <row r="95" ht="22.5" customHeight="1">
      <c r="A95" s="3" t="s">
        <v>36</v>
      </c>
      <c r="B95" s="4" t="s">
        <v>37</v>
      </c>
      <c r="C95" s="4" t="s">
        <v>208</v>
      </c>
      <c r="D95" s="12" t="str">
        <f>D93</f>
        <v>Dia Láctea</v>
      </c>
      <c r="E95" s="3" t="s">
        <v>22</v>
      </c>
      <c r="F95" s="3" t="s">
        <v>23</v>
      </c>
      <c r="G95" s="5"/>
      <c r="H95" s="3" t="s">
        <v>24</v>
      </c>
      <c r="I95" s="3" t="s">
        <v>205</v>
      </c>
      <c r="J95" s="6">
        <v>1.33</v>
      </c>
      <c r="K95" s="4" t="s">
        <v>34</v>
      </c>
      <c r="L95" s="9">
        <f t="shared" si="65"/>
        <v>1.33</v>
      </c>
      <c r="M95" s="4" t="s">
        <v>35</v>
      </c>
      <c r="O95" s="9"/>
      <c r="P95" s="10">
        <f t="shared" si="64"/>
        <v>46131</v>
      </c>
      <c r="Q95" s="3" t="s">
        <v>28</v>
      </c>
    </row>
    <row r="96" ht="22.5" customHeight="1">
      <c r="A96" s="3" t="s">
        <v>39</v>
      </c>
      <c r="B96" s="4" t="s">
        <v>172</v>
      </c>
      <c r="C96" s="4" t="s">
        <v>209</v>
      </c>
      <c r="D96" s="4" t="s">
        <v>42</v>
      </c>
      <c r="E96" s="3" t="s">
        <v>43</v>
      </c>
      <c r="F96" s="3" t="s">
        <v>23</v>
      </c>
      <c r="G96" s="5"/>
      <c r="H96" s="3" t="s">
        <v>24</v>
      </c>
      <c r="I96" s="3" t="s">
        <v>205</v>
      </c>
      <c r="J96" s="6">
        <v>1.0</v>
      </c>
      <c r="K96" s="4" t="s">
        <v>34</v>
      </c>
      <c r="L96" s="9">
        <f>J96/(4*120)*1000</f>
        <v>2.083333333</v>
      </c>
      <c r="M96" s="4" t="str">
        <f>M95</f>
        <v>€/kg</v>
      </c>
      <c r="O96" s="9"/>
      <c r="P96" s="10">
        <f t="shared" si="64"/>
        <v>46131</v>
      </c>
      <c r="Q96" s="3" t="s">
        <v>28</v>
      </c>
    </row>
    <row r="97" ht="22.5" customHeight="1">
      <c r="A97" s="3" t="s">
        <v>44</v>
      </c>
      <c r="B97" s="4" t="s">
        <v>210</v>
      </c>
      <c r="C97" s="4" t="s">
        <v>211</v>
      </c>
      <c r="D97" s="4" t="s">
        <v>212</v>
      </c>
      <c r="E97" s="3" t="s">
        <v>22</v>
      </c>
      <c r="F97" s="3" t="s">
        <v>23</v>
      </c>
      <c r="G97" s="5"/>
      <c r="H97" s="3" t="s">
        <v>24</v>
      </c>
      <c r="I97" s="3" t="s">
        <v>205</v>
      </c>
      <c r="J97" s="6">
        <v>1.72</v>
      </c>
      <c r="K97" s="4" t="s">
        <v>34</v>
      </c>
      <c r="L97" s="9">
        <f>J97/240*1000</f>
        <v>7.166666667</v>
      </c>
      <c r="M97" s="4" t="s">
        <v>35</v>
      </c>
      <c r="O97" s="9"/>
      <c r="P97" s="10">
        <f>P95</f>
        <v>46131</v>
      </c>
      <c r="Q97" s="3" t="s">
        <v>28</v>
      </c>
    </row>
    <row r="98" ht="22.5" customHeight="1">
      <c r="A98" s="3" t="s">
        <v>47</v>
      </c>
      <c r="B98" s="4" t="s">
        <v>213</v>
      </c>
      <c r="C98" s="4" t="s">
        <v>49</v>
      </c>
      <c r="D98" s="12" t="str">
        <f>D95</f>
        <v>Dia Láctea</v>
      </c>
      <c r="E98" s="3" t="s">
        <v>22</v>
      </c>
      <c r="F98" s="3" t="s">
        <v>23</v>
      </c>
      <c r="G98" s="5"/>
      <c r="H98" s="3" t="s">
        <v>24</v>
      </c>
      <c r="I98" s="3" t="s">
        <v>205</v>
      </c>
      <c r="J98" s="6">
        <v>1.65</v>
      </c>
      <c r="K98" s="4" t="s">
        <v>34</v>
      </c>
      <c r="L98" s="9">
        <f>J98/200*1000</f>
        <v>8.25</v>
      </c>
      <c r="M98" s="4" t="s">
        <v>35</v>
      </c>
      <c r="O98" s="9"/>
      <c r="P98" s="10">
        <f t="shared" ref="P98:P100" si="66">P97</f>
        <v>46131</v>
      </c>
      <c r="Q98" s="3" t="s">
        <v>28</v>
      </c>
    </row>
    <row r="99" ht="22.5" customHeight="1">
      <c r="A99" s="3" t="s">
        <v>50</v>
      </c>
      <c r="B99" s="4" t="s">
        <v>214</v>
      </c>
      <c r="C99" s="4" t="s">
        <v>52</v>
      </c>
      <c r="D99" s="4" t="s">
        <v>215</v>
      </c>
      <c r="E99" s="3" t="s">
        <v>22</v>
      </c>
      <c r="F99" s="3" t="s">
        <v>23</v>
      </c>
      <c r="G99" s="5"/>
      <c r="H99" s="3" t="s">
        <v>53</v>
      </c>
      <c r="I99" s="3" t="s">
        <v>205</v>
      </c>
      <c r="J99" s="6">
        <v>1.49</v>
      </c>
      <c r="K99" s="4" t="s">
        <v>34</v>
      </c>
      <c r="L99" s="9">
        <f t="shared" ref="L99:L101" si="67">J99*2</f>
        <v>2.98</v>
      </c>
      <c r="M99" s="4" t="s">
        <v>35</v>
      </c>
      <c r="O99" s="9"/>
      <c r="P99" s="10">
        <f t="shared" si="66"/>
        <v>46131</v>
      </c>
      <c r="Q99" s="3" t="s">
        <v>28</v>
      </c>
    </row>
    <row r="100" ht="22.5" customHeight="1">
      <c r="A100" s="3" t="s">
        <v>54</v>
      </c>
      <c r="B100" s="4" t="s">
        <v>214</v>
      </c>
      <c r="C100" s="4" t="s">
        <v>52</v>
      </c>
      <c r="D100" s="4" t="s">
        <v>56</v>
      </c>
      <c r="E100" s="3" t="s">
        <v>43</v>
      </c>
      <c r="F100" s="3" t="s">
        <v>23</v>
      </c>
      <c r="G100" s="5"/>
      <c r="H100" s="3" t="s">
        <v>53</v>
      </c>
      <c r="I100" s="3" t="s">
        <v>205</v>
      </c>
      <c r="J100" s="6">
        <v>3.0</v>
      </c>
      <c r="K100" s="4" t="str">
        <f>K99</f>
        <v>kg</v>
      </c>
      <c r="L100" s="9">
        <f t="shared" si="67"/>
        <v>6</v>
      </c>
      <c r="M100" s="4" t="str">
        <f>M99</f>
        <v>€/kg</v>
      </c>
      <c r="O100" s="9"/>
      <c r="P100" s="10">
        <f t="shared" si="66"/>
        <v>46131</v>
      </c>
      <c r="Q100" s="3" t="s">
        <v>28</v>
      </c>
    </row>
    <row r="101" ht="22.5" customHeight="1">
      <c r="A101" s="3" t="s">
        <v>57</v>
      </c>
      <c r="B101" s="4" t="s">
        <v>216</v>
      </c>
      <c r="C101" s="4" t="s">
        <v>52</v>
      </c>
      <c r="D101" s="12" t="str">
        <f>D99</f>
        <v>Gran Dia</v>
      </c>
      <c r="E101" s="3" t="s">
        <v>22</v>
      </c>
      <c r="F101" s="3" t="s">
        <v>23</v>
      </c>
      <c r="G101" s="5"/>
      <c r="H101" s="3" t="s">
        <v>53</v>
      </c>
      <c r="I101" s="3" t="s">
        <v>205</v>
      </c>
      <c r="J101" s="6">
        <v>2.0</v>
      </c>
      <c r="K101" s="4" t="s">
        <v>34</v>
      </c>
      <c r="L101" s="9">
        <f t="shared" si="67"/>
        <v>4</v>
      </c>
      <c r="M101" s="4" t="s">
        <v>35</v>
      </c>
      <c r="O101" s="9"/>
      <c r="P101" s="10">
        <f>P99</f>
        <v>46131</v>
      </c>
      <c r="Q101" s="3" t="s">
        <v>28</v>
      </c>
    </row>
    <row r="102" ht="22.5" customHeight="1">
      <c r="A102" s="3" t="s">
        <v>59</v>
      </c>
      <c r="B102" s="4" t="s">
        <v>60</v>
      </c>
      <c r="C102" s="4" t="s">
        <v>20</v>
      </c>
      <c r="D102" s="4" t="s">
        <v>61</v>
      </c>
      <c r="E102" s="3" t="s">
        <v>43</v>
      </c>
      <c r="F102" s="3" t="s">
        <v>23</v>
      </c>
      <c r="G102" s="5"/>
      <c r="H102" s="3" t="s">
        <v>53</v>
      </c>
      <c r="I102" s="3" t="s">
        <v>205</v>
      </c>
      <c r="J102" s="6">
        <v>4.95</v>
      </c>
      <c r="K102" s="4" t="s">
        <v>26</v>
      </c>
      <c r="L102" s="9">
        <f t="shared" ref="L102:L103" si="68">J102</f>
        <v>4.95</v>
      </c>
      <c r="M102" s="4" t="s">
        <v>27</v>
      </c>
      <c r="O102" s="9"/>
      <c r="P102" s="10">
        <f t="shared" ref="P102:P107" si="69">P101</f>
        <v>46131</v>
      </c>
      <c r="Q102" s="3" t="s">
        <v>28</v>
      </c>
    </row>
    <row r="103" ht="22.5" customHeight="1">
      <c r="A103" s="3" t="s">
        <v>62</v>
      </c>
      <c r="B103" s="4" t="s">
        <v>217</v>
      </c>
      <c r="C103" s="4" t="s">
        <v>20</v>
      </c>
      <c r="D103" s="4" t="s">
        <v>218</v>
      </c>
      <c r="E103" s="3" t="s">
        <v>22</v>
      </c>
      <c r="F103" s="3" t="s">
        <v>23</v>
      </c>
      <c r="G103" s="5"/>
      <c r="H103" s="3" t="s">
        <v>53</v>
      </c>
      <c r="I103" s="3" t="s">
        <v>205</v>
      </c>
      <c r="J103" s="6">
        <v>1.85</v>
      </c>
      <c r="K103" s="4" t="s">
        <v>26</v>
      </c>
      <c r="L103" s="9">
        <f t="shared" si="68"/>
        <v>1.85</v>
      </c>
      <c r="M103" s="4" t="s">
        <v>27</v>
      </c>
      <c r="O103" s="9"/>
      <c r="P103" s="10">
        <f t="shared" si="69"/>
        <v>46131</v>
      </c>
      <c r="Q103" s="3" t="s">
        <v>28</v>
      </c>
    </row>
    <row r="104" ht="22.5" customHeight="1">
      <c r="A104" s="3" t="s">
        <v>64</v>
      </c>
      <c r="B104" s="4" t="s">
        <v>65</v>
      </c>
      <c r="C104" s="4" t="s">
        <v>219</v>
      </c>
      <c r="D104" s="4" t="s">
        <v>220</v>
      </c>
      <c r="E104" s="3" t="s">
        <v>22</v>
      </c>
      <c r="F104" s="3" t="s">
        <v>23</v>
      </c>
      <c r="G104" s="5"/>
      <c r="H104" s="3" t="s">
        <v>53</v>
      </c>
      <c r="I104" s="3" t="s">
        <v>205</v>
      </c>
      <c r="J104" s="6">
        <v>4.9</v>
      </c>
      <c r="K104" s="4" t="s">
        <v>34</v>
      </c>
      <c r="L104" s="9">
        <f>J104*2</f>
        <v>9.8</v>
      </c>
      <c r="M104" s="4" t="s">
        <v>35</v>
      </c>
      <c r="O104" s="9"/>
      <c r="P104" s="10">
        <f t="shared" si="69"/>
        <v>46131</v>
      </c>
      <c r="Q104" s="3" t="s">
        <v>28</v>
      </c>
    </row>
    <row r="105" ht="22.5" customHeight="1">
      <c r="A105" s="3" t="s">
        <v>67</v>
      </c>
      <c r="B105" s="4" t="s">
        <v>221</v>
      </c>
      <c r="C105" s="4" t="s">
        <v>69</v>
      </c>
      <c r="D105" s="12" t="str">
        <f>D104</f>
        <v>Dia Cafetería</v>
      </c>
      <c r="E105" s="3" t="s">
        <v>22</v>
      </c>
      <c r="F105" s="3" t="s">
        <v>23</v>
      </c>
      <c r="G105" s="5"/>
      <c r="H105" s="3" t="s">
        <v>53</v>
      </c>
      <c r="I105" s="3" t="s">
        <v>205</v>
      </c>
      <c r="J105" s="6">
        <v>3.55</v>
      </c>
      <c r="K105" s="4" t="s">
        <v>10</v>
      </c>
      <c r="L105" s="9">
        <f>J105/16</f>
        <v>0.221875</v>
      </c>
      <c r="M105" s="4" t="s">
        <v>70</v>
      </c>
      <c r="O105" s="9"/>
      <c r="P105" s="10">
        <f t="shared" si="69"/>
        <v>46131</v>
      </c>
      <c r="Q105" s="3" t="s">
        <v>28</v>
      </c>
    </row>
    <row r="106" ht="22.5" customHeight="1">
      <c r="A106" s="3" t="s">
        <v>71</v>
      </c>
      <c r="B106" s="4" t="s">
        <v>222</v>
      </c>
      <c r="C106" s="4" t="s">
        <v>182</v>
      </c>
      <c r="D106" s="4" t="s">
        <v>223</v>
      </c>
      <c r="E106" s="3" t="s">
        <v>22</v>
      </c>
      <c r="F106" s="3" t="s">
        <v>23</v>
      </c>
      <c r="G106" s="5"/>
      <c r="H106" s="3" t="s">
        <v>75</v>
      </c>
      <c r="I106" s="3" t="s">
        <v>205</v>
      </c>
      <c r="J106" s="6">
        <v>3.45</v>
      </c>
      <c r="K106" s="4" t="s">
        <v>10</v>
      </c>
      <c r="L106" s="9">
        <f>J106/40</f>
        <v>0.08625</v>
      </c>
      <c r="M106" s="4" t="s">
        <v>70</v>
      </c>
      <c r="N106" s="4">
        <v>40.0</v>
      </c>
      <c r="O106" s="9">
        <f t="shared" ref="O106:O110" si="70">J106/N106</f>
        <v>0.08625</v>
      </c>
      <c r="P106" s="10">
        <f t="shared" si="69"/>
        <v>46131</v>
      </c>
      <c r="Q106" s="3" t="s">
        <v>28</v>
      </c>
    </row>
    <row r="107" ht="22.5" customHeight="1">
      <c r="A107" s="3" t="s">
        <v>76</v>
      </c>
      <c r="B107" s="4" t="s">
        <v>224</v>
      </c>
      <c r="C107" s="4" t="s">
        <v>73</v>
      </c>
      <c r="D107" s="4" t="s">
        <v>78</v>
      </c>
      <c r="E107" s="3" t="s">
        <v>43</v>
      </c>
      <c r="F107" s="3" t="s">
        <v>23</v>
      </c>
      <c r="G107" s="5"/>
      <c r="H107" s="3" t="s">
        <v>75</v>
      </c>
      <c r="I107" s="3" t="s">
        <v>205</v>
      </c>
      <c r="J107" s="6">
        <v>9.99</v>
      </c>
      <c r="K107" s="4" t="str">
        <f>K106</f>
        <v>unit</v>
      </c>
      <c r="L107" s="9">
        <f>J107/30</f>
        <v>0.333</v>
      </c>
      <c r="M107" s="4" t="str">
        <f>M106</f>
        <v>€/unit</v>
      </c>
      <c r="N107" s="4">
        <v>30.0</v>
      </c>
      <c r="O107" s="9">
        <f t="shared" si="70"/>
        <v>0.333</v>
      </c>
      <c r="P107" s="10">
        <f t="shared" si="69"/>
        <v>46131</v>
      </c>
      <c r="Q107" s="3" t="s">
        <v>28</v>
      </c>
    </row>
    <row r="108" ht="22.5" customHeight="1">
      <c r="A108" s="3" t="s">
        <v>79</v>
      </c>
      <c r="B108" s="4" t="s">
        <v>225</v>
      </c>
      <c r="C108" s="4" t="s">
        <v>226</v>
      </c>
      <c r="D108" s="4" t="str">
        <f t="shared" ref="D108:E108" si="71">D106</f>
        <v>Dia Super Paco</v>
      </c>
      <c r="E108" s="11" t="str">
        <f t="shared" si="71"/>
        <v>yes</v>
      </c>
      <c r="F108" s="3" t="s">
        <v>23</v>
      </c>
      <c r="G108" s="5"/>
      <c r="H108" s="11" t="str">
        <f t="shared" ref="H108:I108" si="72">H106</f>
        <v>cleaning</v>
      </c>
      <c r="I108" s="11" t="str">
        <f t="shared" si="72"/>
        <v>Dia</v>
      </c>
      <c r="J108" s="6">
        <v>4.09</v>
      </c>
      <c r="K108" s="4" t="s">
        <v>26</v>
      </c>
      <c r="L108" s="9">
        <f>J108/648*1000</f>
        <v>6.311728395</v>
      </c>
      <c r="M108" s="4" t="s">
        <v>27</v>
      </c>
      <c r="N108" s="4">
        <v>36.0</v>
      </c>
      <c r="O108" s="9">
        <f t="shared" si="70"/>
        <v>0.1136111111</v>
      </c>
      <c r="P108" s="10">
        <f>P106</f>
        <v>46131</v>
      </c>
      <c r="Q108" s="3" t="s">
        <v>28</v>
      </c>
    </row>
    <row r="109" ht="22.5" customHeight="1">
      <c r="A109" s="3" t="s">
        <v>82</v>
      </c>
      <c r="B109" s="4" t="s">
        <v>227</v>
      </c>
      <c r="C109" s="4" t="s">
        <v>228</v>
      </c>
      <c r="D109" s="12" t="str">
        <f>D106</f>
        <v>Dia Super Paco</v>
      </c>
      <c r="E109" s="3" t="s">
        <v>22</v>
      </c>
      <c r="F109" s="3" t="s">
        <v>23</v>
      </c>
      <c r="G109" s="5"/>
      <c r="H109" s="3" t="s">
        <v>75</v>
      </c>
      <c r="I109" s="3" t="s">
        <v>205</v>
      </c>
      <c r="J109" s="6">
        <v>4.29</v>
      </c>
      <c r="K109" s="4" t="s">
        <v>26</v>
      </c>
      <c r="L109" s="9">
        <f>J109/2.99</f>
        <v>1.434782609</v>
      </c>
      <c r="M109" s="4" t="s">
        <v>27</v>
      </c>
      <c r="N109" s="4">
        <v>46.0</v>
      </c>
      <c r="O109" s="9">
        <f t="shared" si="70"/>
        <v>0.09326086957</v>
      </c>
      <c r="P109" s="10">
        <f t="shared" ref="P109:P117" si="73">P108</f>
        <v>46131</v>
      </c>
      <c r="Q109" s="3" t="s">
        <v>28</v>
      </c>
    </row>
    <row r="110" ht="22.5" customHeight="1">
      <c r="A110" s="3" t="s">
        <v>85</v>
      </c>
      <c r="B110" s="4" t="s">
        <v>229</v>
      </c>
      <c r="C110" s="4" t="s">
        <v>230</v>
      </c>
      <c r="D110" s="12" t="str">
        <f>D109</f>
        <v>Dia Super Paco</v>
      </c>
      <c r="E110" s="3" t="s">
        <v>22</v>
      </c>
      <c r="F110" s="3" t="s">
        <v>23</v>
      </c>
      <c r="G110" s="5"/>
      <c r="H110" s="3" t="s">
        <v>75</v>
      </c>
      <c r="I110" s="3" t="s">
        <v>205</v>
      </c>
      <c r="J110" s="6">
        <v>3.69</v>
      </c>
      <c r="K110" s="4" t="s">
        <v>10</v>
      </c>
      <c r="L110" s="9">
        <f>J110/20</f>
        <v>0.1845</v>
      </c>
      <c r="M110" s="4" t="s">
        <v>70</v>
      </c>
      <c r="N110" s="4">
        <v>20.0</v>
      </c>
      <c r="O110" s="9">
        <f t="shared" si="70"/>
        <v>0.1845</v>
      </c>
      <c r="P110" s="10">
        <f t="shared" si="73"/>
        <v>46131</v>
      </c>
      <c r="Q110" s="3" t="s">
        <v>28</v>
      </c>
    </row>
    <row r="111" ht="22.5" customHeight="1">
      <c r="A111" s="3" t="s">
        <v>88</v>
      </c>
      <c r="B111" s="4" t="s">
        <v>231</v>
      </c>
      <c r="C111" s="4" t="s">
        <v>90</v>
      </c>
      <c r="D111" s="4" t="s">
        <v>205</v>
      </c>
      <c r="E111" s="3" t="s">
        <v>22</v>
      </c>
      <c r="F111" s="3" t="s">
        <v>23</v>
      </c>
      <c r="G111" s="5"/>
      <c r="H111" s="3" t="s">
        <v>91</v>
      </c>
      <c r="I111" s="3" t="s">
        <v>205</v>
      </c>
      <c r="J111" s="6">
        <v>3.0</v>
      </c>
      <c r="K111" s="4" t="s">
        <v>10</v>
      </c>
      <c r="L111" s="9">
        <f t="shared" ref="L111:L112" si="75">J111/12</f>
        <v>0.25</v>
      </c>
      <c r="M111" s="4" t="s">
        <v>70</v>
      </c>
      <c r="O111" s="9"/>
      <c r="P111" s="10">
        <f t="shared" si="73"/>
        <v>46131</v>
      </c>
      <c r="Q111" s="3" t="s">
        <v>28</v>
      </c>
    </row>
    <row r="112" ht="22.5" customHeight="1">
      <c r="A112" s="3" t="s">
        <v>92</v>
      </c>
      <c r="B112" s="4" t="s">
        <v>232</v>
      </c>
      <c r="C112" s="4" t="s">
        <v>90</v>
      </c>
      <c r="D112" s="4" t="s">
        <v>205</v>
      </c>
      <c r="E112" s="3" t="s">
        <v>22</v>
      </c>
      <c r="F112" s="3" t="s">
        <v>23</v>
      </c>
      <c r="G112" s="5"/>
      <c r="H112" s="11" t="str">
        <f t="shared" ref="H112:I112" si="74">H111</f>
        <v>fresh produce</v>
      </c>
      <c r="I112" s="11" t="str">
        <f t="shared" si="74"/>
        <v>Dia</v>
      </c>
      <c r="J112" s="6">
        <v>3.2</v>
      </c>
      <c r="K112" s="4" t="s">
        <v>10</v>
      </c>
      <c r="L112" s="9">
        <f t="shared" si="75"/>
        <v>0.2666666667</v>
      </c>
      <c r="M112" s="4" t="s">
        <v>70</v>
      </c>
      <c r="O112" s="9"/>
      <c r="P112" s="10">
        <f t="shared" si="73"/>
        <v>46131</v>
      </c>
      <c r="Q112" s="3" t="s">
        <v>28</v>
      </c>
    </row>
    <row r="113" ht="22.5" customHeight="1">
      <c r="A113" s="3" t="s">
        <v>94</v>
      </c>
      <c r="B113" s="4" t="s">
        <v>233</v>
      </c>
      <c r="C113" s="4" t="s">
        <v>154</v>
      </c>
      <c r="D113" s="4" t="s">
        <v>205</v>
      </c>
      <c r="E113" s="3" t="s">
        <v>22</v>
      </c>
      <c r="F113" s="3" t="s">
        <v>23</v>
      </c>
      <c r="G113" s="4" t="s">
        <v>155</v>
      </c>
      <c r="H113" s="3" t="s">
        <v>91</v>
      </c>
      <c r="I113" s="3" t="s">
        <v>205</v>
      </c>
      <c r="J113" s="6">
        <v>3.19</v>
      </c>
      <c r="K113" s="4" t="s">
        <v>10</v>
      </c>
      <c r="L113" s="9">
        <f>J113/10</f>
        <v>0.319</v>
      </c>
      <c r="M113" s="4" t="s">
        <v>70</v>
      </c>
      <c r="O113" s="9"/>
      <c r="P113" s="10">
        <f t="shared" si="73"/>
        <v>46131</v>
      </c>
      <c r="Q113" s="3" t="s">
        <v>28</v>
      </c>
    </row>
    <row r="114" ht="22.5" customHeight="1">
      <c r="A114" s="3" t="s">
        <v>96</v>
      </c>
      <c r="B114" s="4" t="s">
        <v>97</v>
      </c>
      <c r="C114" s="4" t="s">
        <v>234</v>
      </c>
      <c r="D114" s="4" t="s">
        <v>235</v>
      </c>
      <c r="E114" s="3" t="s">
        <v>22</v>
      </c>
      <c r="F114" s="3" t="s">
        <v>23</v>
      </c>
      <c r="G114" s="5"/>
      <c r="H114" s="3" t="s">
        <v>91</v>
      </c>
      <c r="I114" s="3" t="s">
        <v>205</v>
      </c>
      <c r="J114" s="6">
        <v>4.89</v>
      </c>
      <c r="K114" s="4" t="s">
        <v>34</v>
      </c>
      <c r="L114" s="9">
        <f>J114/700*1000</f>
        <v>6.985714286</v>
      </c>
      <c r="M114" s="4" t="s">
        <v>35</v>
      </c>
      <c r="O114" s="9"/>
      <c r="P114" s="10">
        <f t="shared" si="73"/>
        <v>46131</v>
      </c>
      <c r="Q114" s="3" t="s">
        <v>28</v>
      </c>
    </row>
    <row r="115" ht="22.5" customHeight="1">
      <c r="A115" s="3" t="s">
        <v>99</v>
      </c>
      <c r="B115" s="4" t="s">
        <v>236</v>
      </c>
      <c r="C115" s="4" t="s">
        <v>33</v>
      </c>
      <c r="D115" s="4" t="s">
        <v>101</v>
      </c>
      <c r="E115" s="3" t="s">
        <v>43</v>
      </c>
      <c r="F115" s="3" t="s">
        <v>23</v>
      </c>
      <c r="G115" s="5"/>
      <c r="H115" s="3" t="s">
        <v>91</v>
      </c>
      <c r="I115" s="3" t="s">
        <v>205</v>
      </c>
      <c r="J115" s="6">
        <v>1.59</v>
      </c>
      <c r="K115" s="4" t="s">
        <v>34</v>
      </c>
      <c r="L115" s="7">
        <v>1.59</v>
      </c>
      <c r="M115" s="4" t="s">
        <v>35</v>
      </c>
      <c r="O115" s="9"/>
      <c r="P115" s="10">
        <f t="shared" si="73"/>
        <v>46131</v>
      </c>
      <c r="Q115" s="3" t="s">
        <v>28</v>
      </c>
    </row>
    <row r="116" ht="22.5" customHeight="1">
      <c r="A116" s="3" t="s">
        <v>102</v>
      </c>
      <c r="B116" s="4" t="s">
        <v>237</v>
      </c>
      <c r="C116" s="4" t="s">
        <v>159</v>
      </c>
      <c r="D116" s="4" t="s">
        <v>238</v>
      </c>
      <c r="E116" s="3" t="s">
        <v>22</v>
      </c>
      <c r="F116" s="3" t="s">
        <v>23</v>
      </c>
      <c r="G116" s="5"/>
      <c r="H116" s="3" t="s">
        <v>104</v>
      </c>
      <c r="I116" s="3" t="s">
        <v>205</v>
      </c>
      <c r="J116" s="6">
        <v>1.9</v>
      </c>
      <c r="K116" s="4" t="s">
        <v>34</v>
      </c>
      <c r="L116" s="9">
        <f>J116/(150*2)*1000</f>
        <v>6.333333333</v>
      </c>
      <c r="M116" s="4" t="s">
        <v>35</v>
      </c>
      <c r="O116" s="9"/>
      <c r="P116" s="10">
        <f t="shared" si="73"/>
        <v>46131</v>
      </c>
      <c r="Q116" s="3" t="s">
        <v>28</v>
      </c>
    </row>
    <row r="117" ht="22.5" customHeight="1">
      <c r="A117" s="3" t="s">
        <v>160</v>
      </c>
      <c r="B117" s="4" t="s">
        <v>239</v>
      </c>
      <c r="C117" s="4" t="s">
        <v>162</v>
      </c>
      <c r="D117" s="4" t="s">
        <v>163</v>
      </c>
      <c r="E117" s="3" t="s">
        <v>43</v>
      </c>
      <c r="F117" s="3" t="s">
        <v>23</v>
      </c>
      <c r="G117" s="5"/>
      <c r="H117" s="3" t="s">
        <v>104</v>
      </c>
      <c r="I117" s="3" t="s">
        <v>205</v>
      </c>
      <c r="J117" s="6">
        <v>2.89</v>
      </c>
      <c r="K117" s="4" t="str">
        <f>K116</f>
        <v>kg</v>
      </c>
      <c r="L117" s="9">
        <f>J117/248*1000</f>
        <v>11.65322581</v>
      </c>
      <c r="M117" s="4" t="str">
        <f>M116</f>
        <v>€/kg</v>
      </c>
      <c r="O117" s="9"/>
      <c r="P117" s="10">
        <f t="shared" si="73"/>
        <v>46131</v>
      </c>
      <c r="Q117" s="3" t="s">
        <v>28</v>
      </c>
    </row>
    <row r="118" ht="22.5" customHeight="1">
      <c r="A118" s="3" t="s">
        <v>105</v>
      </c>
      <c r="B118" s="4" t="s">
        <v>240</v>
      </c>
      <c r="C118" s="4" t="s">
        <v>241</v>
      </c>
      <c r="D118" s="12" t="str">
        <f>D116</f>
        <v>Dia Snack Maniac</v>
      </c>
      <c r="E118" s="3" t="s">
        <v>22</v>
      </c>
      <c r="F118" s="3" t="s">
        <v>23</v>
      </c>
      <c r="G118" s="5"/>
      <c r="H118" s="3" t="s">
        <v>104</v>
      </c>
      <c r="I118" s="3" t="s">
        <v>205</v>
      </c>
      <c r="J118" s="6">
        <v>1.36</v>
      </c>
      <c r="K118" s="4" t="s">
        <v>34</v>
      </c>
      <c r="L118" s="9">
        <f>J118/170*1000</f>
        <v>8</v>
      </c>
      <c r="M118" s="4" t="s">
        <v>35</v>
      </c>
      <c r="O118" s="9"/>
      <c r="P118" s="10">
        <f>P116</f>
        <v>46131</v>
      </c>
      <c r="Q118" s="3" t="s">
        <v>28</v>
      </c>
    </row>
    <row r="119" ht="22.5" customHeight="1">
      <c r="A119" s="3" t="s">
        <v>108</v>
      </c>
      <c r="B119" s="4" t="s">
        <v>242</v>
      </c>
      <c r="C119" s="4" t="s">
        <v>243</v>
      </c>
      <c r="D119" s="4" t="s">
        <v>244</v>
      </c>
      <c r="E119" s="3" t="s">
        <v>22</v>
      </c>
      <c r="F119" s="3" t="s">
        <v>23</v>
      </c>
      <c r="G119" s="5"/>
      <c r="H119" s="3" t="s">
        <v>104</v>
      </c>
      <c r="I119" s="3" t="s">
        <v>205</v>
      </c>
      <c r="J119" s="6">
        <v>0.81</v>
      </c>
      <c r="K119" s="4" t="s">
        <v>34</v>
      </c>
      <c r="L119" s="9">
        <f>J119/400*1000</f>
        <v>2.025</v>
      </c>
      <c r="M119" s="4" t="s">
        <v>35</v>
      </c>
      <c r="O119" s="9"/>
      <c r="P119" s="10">
        <f t="shared" ref="P119:P127" si="76">P118</f>
        <v>46131</v>
      </c>
      <c r="Q119" s="3" t="s">
        <v>28</v>
      </c>
    </row>
    <row r="120" ht="22.5" customHeight="1">
      <c r="A120" s="3" t="s">
        <v>111</v>
      </c>
      <c r="B120" s="4" t="s">
        <v>245</v>
      </c>
      <c r="C120" s="4" t="s">
        <v>113</v>
      </c>
      <c r="D120" s="12" t="str">
        <f>D119</f>
        <v>Galleteca de Dia</v>
      </c>
      <c r="E120" s="3" t="s">
        <v>22</v>
      </c>
      <c r="F120" s="3" t="s">
        <v>23</v>
      </c>
      <c r="G120" s="5"/>
      <c r="H120" s="3" t="s">
        <v>104</v>
      </c>
      <c r="I120" s="3" t="s">
        <v>205</v>
      </c>
      <c r="J120" s="6">
        <v>1.45</v>
      </c>
      <c r="K120" s="4" t="s">
        <v>34</v>
      </c>
      <c r="L120" s="9">
        <f>J120/225*1000</f>
        <v>6.444444444</v>
      </c>
      <c r="M120" s="4" t="s">
        <v>35</v>
      </c>
      <c r="O120" s="9"/>
      <c r="P120" s="10">
        <f t="shared" si="76"/>
        <v>46131</v>
      </c>
      <c r="Q120" s="3" t="s">
        <v>28</v>
      </c>
    </row>
    <row r="121" ht="22.5" customHeight="1">
      <c r="A121" s="3" t="s">
        <v>114</v>
      </c>
      <c r="B121" s="4" t="s">
        <v>246</v>
      </c>
      <c r="C121" s="4" t="s">
        <v>119</v>
      </c>
      <c r="D121" s="4" t="s">
        <v>247</v>
      </c>
      <c r="E121" s="3" t="s">
        <v>22</v>
      </c>
      <c r="F121" s="3" t="s">
        <v>23</v>
      </c>
      <c r="G121" s="5"/>
      <c r="H121" s="3" t="s">
        <v>104</v>
      </c>
      <c r="I121" s="3" t="s">
        <v>205</v>
      </c>
      <c r="J121" s="6">
        <v>1.0</v>
      </c>
      <c r="K121" s="4" t="s">
        <v>34</v>
      </c>
      <c r="L121" s="9">
        <f t="shared" ref="L121:L122" si="78">J121/100*1000</f>
        <v>10</v>
      </c>
      <c r="M121" s="4" t="s">
        <v>35</v>
      </c>
      <c r="O121" s="9"/>
      <c r="P121" s="10">
        <f t="shared" si="76"/>
        <v>46131</v>
      </c>
      <c r="Q121" s="3" t="s">
        <v>28</v>
      </c>
    </row>
    <row r="122" ht="22.5" customHeight="1">
      <c r="A122" s="3" t="s">
        <v>117</v>
      </c>
      <c r="B122" s="4" t="s">
        <v>118</v>
      </c>
      <c r="C122" s="4" t="s">
        <v>119</v>
      </c>
      <c r="D122" s="12" t="str">
        <f>D121</f>
        <v>Dia Temptation</v>
      </c>
      <c r="E122" s="3" t="s">
        <v>22</v>
      </c>
      <c r="F122" s="3" t="s">
        <v>23</v>
      </c>
      <c r="G122" s="13"/>
      <c r="H122" s="14" t="str">
        <f t="shared" ref="H122:I122" si="77">H121</f>
        <v>snacks</v>
      </c>
      <c r="I122" s="14" t="str">
        <f t="shared" si="77"/>
        <v>Dia</v>
      </c>
      <c r="J122" s="6">
        <v>1.95</v>
      </c>
      <c r="K122" s="4" t="s">
        <v>34</v>
      </c>
      <c r="L122" s="9">
        <f t="shared" si="78"/>
        <v>19.5</v>
      </c>
      <c r="M122" s="4" t="s">
        <v>35</v>
      </c>
      <c r="O122" s="9"/>
      <c r="P122" s="10">
        <f t="shared" si="76"/>
        <v>46131</v>
      </c>
      <c r="Q122" s="3" t="s">
        <v>28</v>
      </c>
    </row>
    <row r="123" ht="22.5" customHeight="1">
      <c r="A123" s="3" t="s">
        <v>18</v>
      </c>
      <c r="B123" s="4" t="s">
        <v>19</v>
      </c>
      <c r="C123" s="4" t="s">
        <v>20</v>
      </c>
      <c r="D123" s="4" t="s">
        <v>248</v>
      </c>
      <c r="E123" s="3" t="s">
        <v>22</v>
      </c>
      <c r="F123" s="3" t="s">
        <v>23</v>
      </c>
      <c r="G123" s="5"/>
      <c r="H123" s="3" t="s">
        <v>24</v>
      </c>
      <c r="I123" s="3" t="s">
        <v>249</v>
      </c>
      <c r="J123" s="6">
        <v>0.96</v>
      </c>
      <c r="K123" s="4" t="s">
        <v>26</v>
      </c>
      <c r="L123" s="9">
        <f t="shared" ref="L123:L126" si="81">J123</f>
        <v>0.96</v>
      </c>
      <c r="M123" s="4" t="s">
        <v>27</v>
      </c>
      <c r="O123" s="9"/>
      <c r="P123" s="10">
        <f t="shared" si="76"/>
        <v>46131</v>
      </c>
      <c r="Q123" s="3" t="s">
        <v>28</v>
      </c>
    </row>
    <row r="124" ht="22.5" customHeight="1">
      <c r="A124" s="3" t="s">
        <v>29</v>
      </c>
      <c r="B124" s="4" t="s">
        <v>30</v>
      </c>
      <c r="C124" s="4" t="s">
        <v>20</v>
      </c>
      <c r="D124" s="12" t="str">
        <f t="shared" ref="D124:E124" si="79">D123</f>
        <v>Auchan</v>
      </c>
      <c r="E124" s="14" t="str">
        <f t="shared" si="79"/>
        <v>yes</v>
      </c>
      <c r="F124" s="3" t="s">
        <v>23</v>
      </c>
      <c r="G124" s="13"/>
      <c r="H124" s="14" t="str">
        <f t="shared" ref="H124:I124" si="80">H123</f>
        <v>dairy</v>
      </c>
      <c r="I124" s="14" t="str">
        <f t="shared" si="80"/>
        <v>Alcampo</v>
      </c>
      <c r="J124" s="6">
        <v>0.84</v>
      </c>
      <c r="K124" s="4" t="s">
        <v>26</v>
      </c>
      <c r="L124" s="9">
        <f t="shared" si="81"/>
        <v>0.84</v>
      </c>
      <c r="M124" s="4" t="s">
        <v>27</v>
      </c>
      <c r="O124" s="9"/>
      <c r="P124" s="10">
        <f t="shared" si="76"/>
        <v>46131</v>
      </c>
      <c r="Q124" s="3" t="s">
        <v>28</v>
      </c>
    </row>
    <row r="125" ht="22.5" customHeight="1">
      <c r="A125" s="3" t="s">
        <v>31</v>
      </c>
      <c r="B125" s="4" t="s">
        <v>250</v>
      </c>
      <c r="C125" s="4" t="s">
        <v>33</v>
      </c>
      <c r="D125" s="12" t="str">
        <f t="shared" ref="D125:E125" si="82">D124</f>
        <v>Auchan</v>
      </c>
      <c r="E125" s="11" t="str">
        <f t="shared" si="82"/>
        <v>yes</v>
      </c>
      <c r="F125" s="3" t="s">
        <v>23</v>
      </c>
      <c r="G125" s="13"/>
      <c r="H125" s="14" t="str">
        <f t="shared" ref="H125:I125" si="83">H124</f>
        <v>dairy</v>
      </c>
      <c r="I125" s="14" t="str">
        <f t="shared" si="83"/>
        <v>Alcampo</v>
      </c>
      <c r="J125" s="6">
        <v>2.14</v>
      </c>
      <c r="K125" s="4" t="s">
        <v>34</v>
      </c>
      <c r="L125" s="9">
        <f t="shared" si="81"/>
        <v>2.14</v>
      </c>
      <c r="M125" s="4" t="s">
        <v>35</v>
      </c>
      <c r="O125" s="9"/>
      <c r="P125" s="10">
        <f t="shared" si="76"/>
        <v>46131</v>
      </c>
      <c r="Q125" s="3" t="s">
        <v>28</v>
      </c>
    </row>
    <row r="126" ht="22.5" customHeight="1">
      <c r="A126" s="3" t="s">
        <v>36</v>
      </c>
      <c r="B126" s="4" t="s">
        <v>37</v>
      </c>
      <c r="C126" s="4" t="s">
        <v>208</v>
      </c>
      <c r="D126" s="12" t="str">
        <f t="shared" ref="D126:E126" si="84">D125</f>
        <v>Auchan</v>
      </c>
      <c r="E126" s="14" t="str">
        <f t="shared" si="84"/>
        <v>yes</v>
      </c>
      <c r="F126" s="3" t="s">
        <v>23</v>
      </c>
      <c r="G126" s="13"/>
      <c r="H126" s="14" t="str">
        <f t="shared" ref="H126:I126" si="85">H125</f>
        <v>dairy</v>
      </c>
      <c r="I126" s="14" t="str">
        <f t="shared" si="85"/>
        <v>Alcampo</v>
      </c>
      <c r="J126" s="6">
        <v>1.32</v>
      </c>
      <c r="K126" s="4" t="s">
        <v>34</v>
      </c>
      <c r="L126" s="9">
        <f t="shared" si="81"/>
        <v>1.32</v>
      </c>
      <c r="M126" s="4" t="s">
        <v>35</v>
      </c>
      <c r="O126" s="9"/>
      <c r="P126" s="10">
        <f t="shared" si="76"/>
        <v>46131</v>
      </c>
      <c r="Q126" s="3" t="s">
        <v>28</v>
      </c>
    </row>
    <row r="127" ht="22.5" customHeight="1">
      <c r="A127" s="3" t="s">
        <v>39</v>
      </c>
      <c r="B127" s="4" t="s">
        <v>251</v>
      </c>
      <c r="C127" s="4" t="s">
        <v>41</v>
      </c>
      <c r="D127" s="4" t="s">
        <v>42</v>
      </c>
      <c r="E127" s="3" t="s">
        <v>43</v>
      </c>
      <c r="F127" s="3" t="s">
        <v>23</v>
      </c>
      <c r="G127" s="13"/>
      <c r="H127" s="14" t="str">
        <f t="shared" ref="H127:I127" si="86">H126</f>
        <v>dairy</v>
      </c>
      <c r="I127" s="14" t="str">
        <f t="shared" si="86"/>
        <v>Alcampo</v>
      </c>
      <c r="J127" s="6">
        <v>1.77</v>
      </c>
      <c r="K127" s="4" t="s">
        <v>34</v>
      </c>
      <c r="L127" s="9">
        <f>J127/(8*120)*1000</f>
        <v>1.84375</v>
      </c>
      <c r="M127" s="4" t="str">
        <f>M126</f>
        <v>€/kg</v>
      </c>
      <c r="O127" s="9"/>
      <c r="P127" s="10">
        <f t="shared" si="76"/>
        <v>46131</v>
      </c>
      <c r="Q127" s="3" t="s">
        <v>28</v>
      </c>
    </row>
    <row r="128" ht="22.5" customHeight="1">
      <c r="A128" s="3" t="s">
        <v>44</v>
      </c>
      <c r="B128" s="4" t="s">
        <v>252</v>
      </c>
      <c r="C128" s="4" t="s">
        <v>49</v>
      </c>
      <c r="D128" s="12" t="str">
        <f t="shared" ref="D128:E128" si="87">D126</f>
        <v>Auchan</v>
      </c>
      <c r="E128" s="14" t="str">
        <f t="shared" si="87"/>
        <v>yes</v>
      </c>
      <c r="F128" s="3" t="s">
        <v>23</v>
      </c>
      <c r="G128" s="13"/>
      <c r="H128" s="14" t="str">
        <f t="shared" ref="H128:I128" si="88">H126</f>
        <v>dairy</v>
      </c>
      <c r="I128" s="14" t="str">
        <f t="shared" si="88"/>
        <v>Alcampo</v>
      </c>
      <c r="J128" s="6">
        <v>1.58</v>
      </c>
      <c r="K128" s="4" t="s">
        <v>34</v>
      </c>
      <c r="L128" s="9">
        <f t="shared" ref="L128:L129" si="91">J128/200*1000</f>
        <v>7.9</v>
      </c>
      <c r="M128" s="4" t="s">
        <v>35</v>
      </c>
      <c r="O128" s="9"/>
      <c r="P128" s="10">
        <f>P126</f>
        <v>46131</v>
      </c>
      <c r="Q128" s="3" t="s">
        <v>28</v>
      </c>
    </row>
    <row r="129" ht="22.5" customHeight="1">
      <c r="A129" s="3" t="s">
        <v>47</v>
      </c>
      <c r="B129" s="4" t="s">
        <v>253</v>
      </c>
      <c r="C129" s="4" t="s">
        <v>49</v>
      </c>
      <c r="D129" s="12" t="str">
        <f t="shared" ref="D129:E129" si="89">D128</f>
        <v>Auchan</v>
      </c>
      <c r="E129" s="14" t="str">
        <f t="shared" si="89"/>
        <v>yes</v>
      </c>
      <c r="F129" s="3" t="s">
        <v>23</v>
      </c>
      <c r="G129" s="13"/>
      <c r="H129" s="14" t="str">
        <f t="shared" ref="H129:I129" si="90">H128</f>
        <v>dairy</v>
      </c>
      <c r="I129" s="14" t="str">
        <f t="shared" si="90"/>
        <v>Alcampo</v>
      </c>
      <c r="J129" s="6">
        <v>1.92</v>
      </c>
      <c r="K129" s="4" t="s">
        <v>34</v>
      </c>
      <c r="L129" s="9">
        <f t="shared" si="91"/>
        <v>9.6</v>
      </c>
      <c r="M129" s="4" t="s">
        <v>35</v>
      </c>
      <c r="O129" s="9"/>
      <c r="P129" s="10">
        <f t="shared" ref="P129:P131" si="93">P128</f>
        <v>46131</v>
      </c>
      <c r="Q129" s="3" t="s">
        <v>28</v>
      </c>
    </row>
    <row r="130" ht="22.5" customHeight="1">
      <c r="A130" s="3" t="s">
        <v>50</v>
      </c>
      <c r="B130" s="4" t="s">
        <v>254</v>
      </c>
      <c r="C130" s="4" t="s">
        <v>52</v>
      </c>
      <c r="D130" s="12" t="str">
        <f t="shared" ref="D130:E130" si="92">D129</f>
        <v>Auchan</v>
      </c>
      <c r="E130" s="14" t="str">
        <f t="shared" si="92"/>
        <v>yes</v>
      </c>
      <c r="F130" s="3" t="s">
        <v>23</v>
      </c>
      <c r="G130" s="5"/>
      <c r="H130" s="3" t="s">
        <v>53</v>
      </c>
      <c r="I130" s="14" t="str">
        <f t="shared" ref="I130:I131" si="94">I129</f>
        <v>Alcampo</v>
      </c>
      <c r="J130" s="6">
        <v>1.64</v>
      </c>
      <c r="K130" s="4" t="s">
        <v>34</v>
      </c>
      <c r="L130" s="9">
        <f t="shared" ref="L130:L131" si="95">J130*2</f>
        <v>3.28</v>
      </c>
      <c r="M130" s="4" t="s">
        <v>35</v>
      </c>
      <c r="O130" s="9"/>
      <c r="P130" s="10">
        <f t="shared" si="93"/>
        <v>46131</v>
      </c>
      <c r="Q130" s="3" t="s">
        <v>28</v>
      </c>
    </row>
    <row r="131" ht="22.5" customHeight="1">
      <c r="A131" s="3" t="s">
        <v>54</v>
      </c>
      <c r="B131" s="4" t="s">
        <v>255</v>
      </c>
      <c r="C131" s="4" t="s">
        <v>52</v>
      </c>
      <c r="D131" s="4" t="s">
        <v>56</v>
      </c>
      <c r="E131" s="3" t="s">
        <v>43</v>
      </c>
      <c r="F131" s="3" t="s">
        <v>23</v>
      </c>
      <c r="G131" s="5"/>
      <c r="H131" s="3" t="s">
        <v>53</v>
      </c>
      <c r="I131" s="14" t="str">
        <f t="shared" si="94"/>
        <v>Alcampo</v>
      </c>
      <c r="J131" s="6">
        <v>2.38</v>
      </c>
      <c r="K131" s="4" t="str">
        <f>K130</f>
        <v>kg</v>
      </c>
      <c r="L131" s="9">
        <f t="shared" si="95"/>
        <v>4.76</v>
      </c>
      <c r="M131" s="4" t="str">
        <f>M130</f>
        <v>€/kg</v>
      </c>
      <c r="O131" s="9"/>
      <c r="P131" s="10">
        <f t="shared" si="93"/>
        <v>46131</v>
      </c>
      <c r="Q131" s="3" t="s">
        <v>28</v>
      </c>
    </row>
    <row r="132" ht="22.5" customHeight="1">
      <c r="A132" s="3" t="s">
        <v>57</v>
      </c>
      <c r="B132" s="4" t="s">
        <v>256</v>
      </c>
      <c r="C132" s="4" t="s">
        <v>257</v>
      </c>
      <c r="D132" s="12" t="str">
        <f t="shared" ref="D132:E132" si="96">D130</f>
        <v>Auchan</v>
      </c>
      <c r="E132" s="14" t="str">
        <f t="shared" si="96"/>
        <v>yes</v>
      </c>
      <c r="F132" s="3" t="s">
        <v>23</v>
      </c>
      <c r="G132" s="13"/>
      <c r="H132" s="14" t="str">
        <f t="shared" ref="H132:I132" si="97">H130</f>
        <v>breakfast</v>
      </c>
      <c r="I132" s="14" t="str">
        <f t="shared" si="97"/>
        <v>Alcampo</v>
      </c>
      <c r="J132" s="6">
        <v>1.75</v>
      </c>
      <c r="K132" s="4" t="s">
        <v>34</v>
      </c>
      <c r="L132" s="9">
        <f>J132/375*1000</f>
        <v>4.666666667</v>
      </c>
      <c r="M132" s="4" t="s">
        <v>35</v>
      </c>
      <c r="O132" s="9"/>
      <c r="P132" s="10">
        <f>P130</f>
        <v>46131</v>
      </c>
      <c r="Q132" s="3" t="s">
        <v>28</v>
      </c>
    </row>
    <row r="133" ht="22.5" customHeight="1">
      <c r="A133" s="3" t="s">
        <v>62</v>
      </c>
      <c r="B133" s="4" t="s">
        <v>258</v>
      </c>
      <c r="C133" s="4" t="s">
        <v>20</v>
      </c>
      <c r="D133" s="12" t="str">
        <f t="shared" ref="D133:E133" si="98">D132</f>
        <v>Auchan</v>
      </c>
      <c r="E133" s="14" t="str">
        <f t="shared" si="98"/>
        <v>yes</v>
      </c>
      <c r="F133" s="3" t="s">
        <v>23</v>
      </c>
      <c r="G133" s="13"/>
      <c r="H133" s="14" t="str">
        <f t="shared" ref="H133:I133" si="99">H132</f>
        <v>breakfast</v>
      </c>
      <c r="I133" s="14" t="str">
        <f t="shared" si="99"/>
        <v>Alcampo</v>
      </c>
      <c r="J133" s="6">
        <v>1.78</v>
      </c>
      <c r="K133" s="4" t="s">
        <v>26</v>
      </c>
      <c r="L133" s="9">
        <f>J133</f>
        <v>1.78</v>
      </c>
      <c r="M133" s="4" t="s">
        <v>27</v>
      </c>
      <c r="O133" s="9"/>
      <c r="P133" s="10">
        <f t="shared" ref="P133:P146" si="102">P132</f>
        <v>46131</v>
      </c>
      <c r="Q133" s="3" t="s">
        <v>28</v>
      </c>
    </row>
    <row r="134" ht="22.5" customHeight="1">
      <c r="A134" s="3" t="s">
        <v>64</v>
      </c>
      <c r="B134" s="4" t="s">
        <v>259</v>
      </c>
      <c r="C134" s="4" t="s">
        <v>66</v>
      </c>
      <c r="D134" s="12" t="str">
        <f t="shared" ref="D134:E134" si="100">D133</f>
        <v>Auchan</v>
      </c>
      <c r="E134" s="14" t="str">
        <f t="shared" si="100"/>
        <v>yes</v>
      </c>
      <c r="F134" s="3" t="s">
        <v>23</v>
      </c>
      <c r="G134" s="13"/>
      <c r="H134" s="14" t="str">
        <f t="shared" ref="H134:I134" si="101">H133</f>
        <v>breakfast</v>
      </c>
      <c r="I134" s="14" t="str">
        <f t="shared" si="101"/>
        <v>Alcampo</v>
      </c>
      <c r="J134" s="6">
        <v>2.48</v>
      </c>
      <c r="K134" s="4" t="s">
        <v>34</v>
      </c>
      <c r="L134" s="9">
        <f>J134/250*1000</f>
        <v>9.92</v>
      </c>
      <c r="M134" s="4" t="s">
        <v>35</v>
      </c>
      <c r="O134" s="9"/>
      <c r="P134" s="10">
        <f t="shared" si="102"/>
        <v>46131</v>
      </c>
      <c r="Q134" s="3" t="s">
        <v>28</v>
      </c>
    </row>
    <row r="135" ht="22.5" customHeight="1">
      <c r="A135" s="3" t="s">
        <v>67</v>
      </c>
      <c r="B135" s="4" t="s">
        <v>260</v>
      </c>
      <c r="C135" s="4" t="s">
        <v>69</v>
      </c>
      <c r="D135" s="12" t="str">
        <f t="shared" ref="D135:E135" si="103">D134</f>
        <v>Auchan</v>
      </c>
      <c r="E135" s="14" t="str">
        <f t="shared" si="103"/>
        <v>yes</v>
      </c>
      <c r="F135" s="3" t="s">
        <v>23</v>
      </c>
      <c r="G135" s="13"/>
      <c r="H135" s="14" t="str">
        <f t="shared" ref="H135:I135" si="104">H134</f>
        <v>breakfast</v>
      </c>
      <c r="I135" s="14" t="str">
        <f t="shared" si="104"/>
        <v>Alcampo</v>
      </c>
      <c r="J135" s="6">
        <v>3.54</v>
      </c>
      <c r="K135" s="4" t="s">
        <v>10</v>
      </c>
      <c r="L135" s="9">
        <f>J135/16</f>
        <v>0.22125</v>
      </c>
      <c r="M135" s="4" t="s">
        <v>70</v>
      </c>
      <c r="O135" s="9"/>
      <c r="P135" s="10">
        <f t="shared" si="102"/>
        <v>46131</v>
      </c>
      <c r="Q135" s="3" t="s">
        <v>28</v>
      </c>
    </row>
    <row r="136" ht="22.5" customHeight="1">
      <c r="A136" s="3" t="s">
        <v>71</v>
      </c>
      <c r="B136" s="4" t="s">
        <v>261</v>
      </c>
      <c r="C136" s="4" t="s">
        <v>262</v>
      </c>
      <c r="D136" s="12" t="str">
        <f t="shared" ref="D136:E136" si="105">D135</f>
        <v>Auchan</v>
      </c>
      <c r="E136" s="14" t="str">
        <f t="shared" si="105"/>
        <v>yes</v>
      </c>
      <c r="F136" s="3" t="s">
        <v>23</v>
      </c>
      <c r="G136" s="5"/>
      <c r="H136" s="3" t="s">
        <v>75</v>
      </c>
      <c r="I136" s="14" t="str">
        <f>I135</f>
        <v>Alcampo</v>
      </c>
      <c r="J136" s="6">
        <v>4.75</v>
      </c>
      <c r="K136" s="4" t="s">
        <v>10</v>
      </c>
      <c r="L136" s="9">
        <f>J136/45</f>
        <v>0.1055555556</v>
      </c>
      <c r="M136" s="4" t="s">
        <v>70</v>
      </c>
      <c r="N136" s="4">
        <v>45.0</v>
      </c>
      <c r="O136" s="9">
        <f t="shared" ref="O136:O139" si="108">J136/N136</f>
        <v>0.1055555556</v>
      </c>
      <c r="P136" s="10">
        <f t="shared" si="102"/>
        <v>46131</v>
      </c>
      <c r="Q136" s="3" t="s">
        <v>28</v>
      </c>
    </row>
    <row r="137" ht="22.5" customHeight="1">
      <c r="A137" s="3" t="s">
        <v>79</v>
      </c>
      <c r="B137" s="4" t="s">
        <v>263</v>
      </c>
      <c r="C137" s="4" t="s">
        <v>81</v>
      </c>
      <c r="D137" s="12" t="str">
        <f t="shared" ref="D137:E137" si="106">D136</f>
        <v>Auchan</v>
      </c>
      <c r="E137" s="14" t="str">
        <f t="shared" si="106"/>
        <v>yes</v>
      </c>
      <c r="F137" s="3" t="s">
        <v>23</v>
      </c>
      <c r="G137" s="13"/>
      <c r="H137" s="14" t="str">
        <f t="shared" ref="H137:I137" si="107">H136</f>
        <v>cleaning</v>
      </c>
      <c r="I137" s="14" t="str">
        <f t="shared" si="107"/>
        <v>Alcampo</v>
      </c>
      <c r="J137" s="6">
        <v>3.42</v>
      </c>
      <c r="K137" s="4" t="s">
        <v>26</v>
      </c>
      <c r="L137" s="9">
        <f>J137/720*1000</f>
        <v>4.75</v>
      </c>
      <c r="M137" s="4" t="s">
        <v>27</v>
      </c>
      <c r="N137" s="4">
        <v>36.0</v>
      </c>
      <c r="O137" s="9">
        <f t="shared" si="108"/>
        <v>0.095</v>
      </c>
      <c r="P137" s="10">
        <f t="shared" si="102"/>
        <v>46131</v>
      </c>
      <c r="Q137" s="3" t="s">
        <v>28</v>
      </c>
    </row>
    <row r="138" ht="22.5" customHeight="1">
      <c r="A138" s="3" t="s">
        <v>82</v>
      </c>
      <c r="B138" s="4" t="s">
        <v>264</v>
      </c>
      <c r="C138" s="4" t="s">
        <v>265</v>
      </c>
      <c r="D138" s="12" t="str">
        <f t="shared" ref="D138:E138" si="109">D137</f>
        <v>Auchan</v>
      </c>
      <c r="E138" s="14" t="str">
        <f t="shared" si="109"/>
        <v>yes</v>
      </c>
      <c r="F138" s="3" t="s">
        <v>23</v>
      </c>
      <c r="G138" s="13"/>
      <c r="H138" s="14" t="str">
        <f t="shared" ref="H138:I138" si="110">H137</f>
        <v>cleaning</v>
      </c>
      <c r="I138" s="14" t="str">
        <f t="shared" si="110"/>
        <v>Alcampo</v>
      </c>
      <c r="J138" s="6">
        <v>3.97</v>
      </c>
      <c r="K138" s="4" t="s">
        <v>26</v>
      </c>
      <c r="L138" s="9">
        <f>J138/2.97</f>
        <v>1.336700337</v>
      </c>
      <c r="M138" s="4" t="s">
        <v>27</v>
      </c>
      <c r="N138" s="4">
        <v>55.0</v>
      </c>
      <c r="O138" s="9">
        <f t="shared" si="108"/>
        <v>0.07218181818</v>
      </c>
      <c r="P138" s="10">
        <f t="shared" si="102"/>
        <v>46131</v>
      </c>
      <c r="Q138" s="3" t="s">
        <v>28</v>
      </c>
    </row>
    <row r="139" ht="22.5" customHeight="1">
      <c r="A139" s="3" t="s">
        <v>85</v>
      </c>
      <c r="B139" s="4" t="s">
        <v>266</v>
      </c>
      <c r="C139" s="4" t="s">
        <v>73</v>
      </c>
      <c r="D139" s="12" t="str">
        <f t="shared" ref="D139:E139" si="111">D138</f>
        <v>Auchan</v>
      </c>
      <c r="E139" s="14" t="str">
        <f t="shared" si="111"/>
        <v>yes</v>
      </c>
      <c r="F139" s="3" t="s">
        <v>23</v>
      </c>
      <c r="G139" s="13"/>
      <c r="H139" s="14" t="str">
        <f t="shared" ref="H139:I139" si="112">H138</f>
        <v>cleaning</v>
      </c>
      <c r="I139" s="14" t="str">
        <f t="shared" si="112"/>
        <v>Alcampo</v>
      </c>
      <c r="J139" s="6">
        <v>5.5</v>
      </c>
      <c r="K139" s="4" t="s">
        <v>10</v>
      </c>
      <c r="L139" s="9">
        <f>J139/30</f>
        <v>0.1833333333</v>
      </c>
      <c r="M139" s="4" t="s">
        <v>70</v>
      </c>
      <c r="N139" s="4">
        <v>30.0</v>
      </c>
      <c r="O139" s="9">
        <f t="shared" si="108"/>
        <v>0.1833333333</v>
      </c>
      <c r="P139" s="10">
        <f t="shared" si="102"/>
        <v>46131</v>
      </c>
      <c r="Q139" s="3" t="s">
        <v>28</v>
      </c>
    </row>
    <row r="140" ht="22.5" customHeight="1">
      <c r="A140" s="3" t="s">
        <v>88</v>
      </c>
      <c r="B140" s="4" t="s">
        <v>267</v>
      </c>
      <c r="C140" s="4" t="s">
        <v>90</v>
      </c>
      <c r="D140" s="4" t="s">
        <v>248</v>
      </c>
      <c r="E140" s="14" t="str">
        <f>E139</f>
        <v>yes</v>
      </c>
      <c r="F140" s="3" t="s">
        <v>23</v>
      </c>
      <c r="G140" s="5"/>
      <c r="H140" s="3" t="s">
        <v>91</v>
      </c>
      <c r="I140" s="14" t="str">
        <f>I139</f>
        <v>Alcampo</v>
      </c>
      <c r="J140" s="6">
        <v>2.59</v>
      </c>
      <c r="K140" s="4" t="s">
        <v>10</v>
      </c>
      <c r="L140" s="9">
        <f t="shared" ref="L140:L142" si="115">J140/12</f>
        <v>0.2158333333</v>
      </c>
      <c r="M140" s="4" t="s">
        <v>70</v>
      </c>
      <c r="O140" s="9"/>
      <c r="P140" s="10">
        <f t="shared" si="102"/>
        <v>46131</v>
      </c>
      <c r="Q140" s="3" t="s">
        <v>28</v>
      </c>
    </row>
    <row r="141" ht="22.5" customHeight="1">
      <c r="A141" s="3" t="s">
        <v>92</v>
      </c>
      <c r="B141" s="4" t="s">
        <v>268</v>
      </c>
      <c r="C141" s="4" t="s">
        <v>90</v>
      </c>
      <c r="D141" s="4" t="str">
        <f t="shared" ref="D141:E141" si="113">D140</f>
        <v>Auchan</v>
      </c>
      <c r="E141" s="14" t="str">
        <f t="shared" si="113"/>
        <v>yes</v>
      </c>
      <c r="F141" s="3" t="s">
        <v>23</v>
      </c>
      <c r="G141" s="5"/>
      <c r="H141" s="11" t="str">
        <f t="shared" ref="H141:I141" si="114">H140</f>
        <v>fresh produce</v>
      </c>
      <c r="I141" s="14" t="str">
        <f t="shared" si="114"/>
        <v>Alcampo</v>
      </c>
      <c r="J141" s="6">
        <v>2.27</v>
      </c>
      <c r="K141" s="4" t="s">
        <v>10</v>
      </c>
      <c r="L141" s="9">
        <f t="shared" si="115"/>
        <v>0.1891666667</v>
      </c>
      <c r="M141" s="4" t="s">
        <v>70</v>
      </c>
      <c r="O141" s="9"/>
      <c r="P141" s="10">
        <f t="shared" si="102"/>
        <v>46131</v>
      </c>
      <c r="Q141" s="3" t="s">
        <v>28</v>
      </c>
    </row>
    <row r="142" ht="22.5" customHeight="1">
      <c r="A142" s="3" t="s">
        <v>94</v>
      </c>
      <c r="B142" s="4" t="s">
        <v>269</v>
      </c>
      <c r="C142" s="4" t="s">
        <v>90</v>
      </c>
      <c r="D142" s="12" t="str">
        <f t="shared" ref="D142:E142" si="116">D140</f>
        <v>Auchan</v>
      </c>
      <c r="E142" s="14" t="str">
        <f t="shared" si="116"/>
        <v>yes</v>
      </c>
      <c r="F142" s="3" t="s">
        <v>23</v>
      </c>
      <c r="G142" s="13"/>
      <c r="H142" s="14" t="str">
        <f t="shared" ref="H142:I142" si="117">H140</f>
        <v>fresh produce</v>
      </c>
      <c r="I142" s="14" t="str">
        <f t="shared" si="117"/>
        <v>Alcampo</v>
      </c>
      <c r="J142" s="6">
        <v>4.19</v>
      </c>
      <c r="K142" s="4" t="s">
        <v>10</v>
      </c>
      <c r="L142" s="9">
        <f t="shared" si="115"/>
        <v>0.3491666667</v>
      </c>
      <c r="M142" s="4" t="s">
        <v>70</v>
      </c>
      <c r="O142" s="9"/>
      <c r="P142" s="10">
        <f t="shared" si="102"/>
        <v>46131</v>
      </c>
      <c r="Q142" s="3" t="s">
        <v>28</v>
      </c>
    </row>
    <row r="143" ht="22.5" customHeight="1">
      <c r="A143" s="3" t="s">
        <v>96</v>
      </c>
      <c r="B143" s="4" t="s">
        <v>270</v>
      </c>
      <c r="C143" s="4" t="s">
        <v>46</v>
      </c>
      <c r="D143" s="12" t="str">
        <f t="shared" ref="D143:E143" si="118">D142</f>
        <v>Auchan</v>
      </c>
      <c r="E143" s="14" t="str">
        <f t="shared" si="118"/>
        <v>yes</v>
      </c>
      <c r="F143" s="3" t="s">
        <v>23</v>
      </c>
      <c r="G143" s="13"/>
      <c r="H143" s="14" t="str">
        <f t="shared" ref="H143:I143" si="119">H142</f>
        <v>fresh produce</v>
      </c>
      <c r="I143" s="14" t="str">
        <f t="shared" si="119"/>
        <v>Alcampo</v>
      </c>
      <c r="J143" s="6">
        <v>2.4</v>
      </c>
      <c r="K143" s="4" t="s">
        <v>34</v>
      </c>
      <c r="L143" s="9">
        <f>J143/300*1000</f>
        <v>8</v>
      </c>
      <c r="M143" s="4" t="s">
        <v>35</v>
      </c>
      <c r="O143" s="9"/>
      <c r="P143" s="10">
        <f t="shared" si="102"/>
        <v>46131</v>
      </c>
      <c r="Q143" s="3" t="s">
        <v>28</v>
      </c>
    </row>
    <row r="144" ht="22.5" customHeight="1">
      <c r="A144" s="3" t="s">
        <v>99</v>
      </c>
      <c r="B144" s="4" t="s">
        <v>100</v>
      </c>
      <c r="C144" s="4" t="s">
        <v>33</v>
      </c>
      <c r="D144" s="4" t="s">
        <v>101</v>
      </c>
      <c r="E144" s="3" t="s">
        <v>43</v>
      </c>
      <c r="F144" s="3" t="s">
        <v>23</v>
      </c>
      <c r="G144" s="13"/>
      <c r="H144" s="14" t="str">
        <f t="shared" ref="H144:I144" si="120">H143</f>
        <v>fresh produce</v>
      </c>
      <c r="I144" s="14" t="str">
        <f t="shared" si="120"/>
        <v>Alcampo</v>
      </c>
      <c r="J144" s="6">
        <v>1.48</v>
      </c>
      <c r="K144" s="4" t="s">
        <v>34</v>
      </c>
      <c r="L144" s="9">
        <f>J144</f>
        <v>1.48</v>
      </c>
      <c r="M144" s="4" t="s">
        <v>35</v>
      </c>
      <c r="O144" s="9"/>
      <c r="P144" s="10">
        <f t="shared" si="102"/>
        <v>46131</v>
      </c>
      <c r="Q144" s="3" t="s">
        <v>28</v>
      </c>
    </row>
    <row r="145" ht="22.5" customHeight="1">
      <c r="A145" s="3" t="s">
        <v>102</v>
      </c>
      <c r="B145" s="4" t="s">
        <v>271</v>
      </c>
      <c r="C145" s="4" t="s">
        <v>46</v>
      </c>
      <c r="D145" s="4" t="s">
        <v>272</v>
      </c>
      <c r="E145" s="3" t="s">
        <v>43</v>
      </c>
      <c r="F145" s="3" t="s">
        <v>23</v>
      </c>
      <c r="G145" s="5"/>
      <c r="H145" s="3" t="s">
        <v>104</v>
      </c>
      <c r="I145" s="3" t="s">
        <v>249</v>
      </c>
      <c r="J145" s="6">
        <v>1.39</v>
      </c>
      <c r="K145" s="4" t="s">
        <v>34</v>
      </c>
      <c r="L145" s="9">
        <f>J145/300*1000</f>
        <v>4.633333333</v>
      </c>
      <c r="M145" s="4" t="s">
        <v>35</v>
      </c>
      <c r="O145" s="9"/>
      <c r="P145" s="10">
        <f t="shared" si="102"/>
        <v>46131</v>
      </c>
      <c r="Q145" s="3" t="s">
        <v>28</v>
      </c>
    </row>
    <row r="146" ht="22.5" customHeight="1">
      <c r="A146" s="3" t="s">
        <v>160</v>
      </c>
      <c r="B146" s="4" t="s">
        <v>273</v>
      </c>
      <c r="C146" s="4" t="s">
        <v>162</v>
      </c>
      <c r="D146" s="4" t="s">
        <v>163</v>
      </c>
      <c r="E146" s="3" t="s">
        <v>43</v>
      </c>
      <c r="F146" s="3" t="s">
        <v>23</v>
      </c>
      <c r="G146" s="5"/>
      <c r="H146" s="3" t="s">
        <v>104</v>
      </c>
      <c r="I146" s="3" t="s">
        <v>249</v>
      </c>
      <c r="J146" s="6">
        <v>2.65</v>
      </c>
      <c r="K146" s="4" t="str">
        <f>K145</f>
        <v>kg</v>
      </c>
      <c r="L146" s="9">
        <f>J146/248*1000</f>
        <v>10.68548387</v>
      </c>
      <c r="M146" s="4" t="str">
        <f>M145</f>
        <v>€/kg</v>
      </c>
      <c r="O146" s="9"/>
      <c r="P146" s="10">
        <f t="shared" si="102"/>
        <v>46131</v>
      </c>
      <c r="Q146" s="3" t="s">
        <v>28</v>
      </c>
    </row>
    <row r="147" ht="22.5" customHeight="1">
      <c r="A147" s="3" t="s">
        <v>105</v>
      </c>
      <c r="B147" s="4" t="s">
        <v>274</v>
      </c>
      <c r="C147" s="4" t="s">
        <v>275</v>
      </c>
      <c r="D147" s="4" t="s">
        <v>248</v>
      </c>
      <c r="E147" s="3" t="s">
        <v>22</v>
      </c>
      <c r="F147" s="3" t="s">
        <v>23</v>
      </c>
      <c r="G147" s="5"/>
      <c r="H147" s="3" t="s">
        <v>104</v>
      </c>
      <c r="I147" s="3" t="s">
        <v>249</v>
      </c>
      <c r="J147" s="6">
        <v>1.01</v>
      </c>
      <c r="K147" s="4" t="s">
        <v>34</v>
      </c>
      <c r="L147" s="9">
        <f>J147/160*1000</f>
        <v>6.3125</v>
      </c>
      <c r="M147" s="4" t="s">
        <v>35</v>
      </c>
      <c r="O147" s="9"/>
      <c r="P147" s="10">
        <f>P145</f>
        <v>46131</v>
      </c>
      <c r="Q147" s="3" t="s">
        <v>28</v>
      </c>
    </row>
    <row r="148" ht="22.5" customHeight="1">
      <c r="A148" s="3" t="s">
        <v>108</v>
      </c>
      <c r="B148" s="4" t="s">
        <v>276</v>
      </c>
      <c r="C148" s="4" t="s">
        <v>110</v>
      </c>
      <c r="D148" s="12" t="str">
        <f t="shared" ref="D148:E148" si="121">D147</f>
        <v>Auchan</v>
      </c>
      <c r="E148" s="14" t="str">
        <f t="shared" si="121"/>
        <v>yes</v>
      </c>
      <c r="F148" s="3" t="s">
        <v>23</v>
      </c>
      <c r="G148" s="13"/>
      <c r="H148" s="14" t="str">
        <f t="shared" ref="H148:I148" si="122">H147</f>
        <v>snacks</v>
      </c>
      <c r="I148" s="14" t="str">
        <f t="shared" si="122"/>
        <v>Alcampo</v>
      </c>
      <c r="J148" s="6">
        <v>1.54</v>
      </c>
      <c r="K148" s="4" t="s">
        <v>34</v>
      </c>
      <c r="L148" s="9">
        <f>J148/800*1000</f>
        <v>1.925</v>
      </c>
      <c r="M148" s="4" t="s">
        <v>35</v>
      </c>
      <c r="O148" s="9"/>
      <c r="P148" s="10">
        <f t="shared" ref="P148:P151" si="125">P147</f>
        <v>46131</v>
      </c>
      <c r="Q148" s="3" t="s">
        <v>28</v>
      </c>
    </row>
    <row r="149" ht="22.5" customHeight="1">
      <c r="A149" s="3" t="s">
        <v>111</v>
      </c>
      <c r="B149" s="4" t="s">
        <v>277</v>
      </c>
      <c r="C149" s="4" t="s">
        <v>278</v>
      </c>
      <c r="D149" s="12" t="str">
        <f t="shared" ref="D149:E149" si="123">D148</f>
        <v>Auchan</v>
      </c>
      <c r="E149" s="14" t="str">
        <f t="shared" si="123"/>
        <v>yes</v>
      </c>
      <c r="F149" s="3" t="s">
        <v>23</v>
      </c>
      <c r="G149" s="13"/>
      <c r="H149" s="14" t="str">
        <f t="shared" ref="H149:I149" si="124">H148</f>
        <v>snacks</v>
      </c>
      <c r="I149" s="14" t="str">
        <f t="shared" si="124"/>
        <v>Alcampo</v>
      </c>
      <c r="J149" s="6">
        <v>1.99</v>
      </c>
      <c r="K149" s="4" t="s">
        <v>34</v>
      </c>
      <c r="L149" s="9">
        <f>J149/184*1000</f>
        <v>10.81521739</v>
      </c>
      <c r="M149" s="4" t="s">
        <v>35</v>
      </c>
      <c r="O149" s="9"/>
      <c r="P149" s="10">
        <f t="shared" si="125"/>
        <v>46131</v>
      </c>
      <c r="Q149" s="3" t="s">
        <v>28</v>
      </c>
    </row>
    <row r="150" ht="22.5" customHeight="1">
      <c r="A150" s="3" t="s">
        <v>114</v>
      </c>
      <c r="B150" s="4" t="s">
        <v>279</v>
      </c>
      <c r="C150" s="4" t="s">
        <v>107</v>
      </c>
      <c r="D150" s="12" t="str">
        <f t="shared" ref="D150:E150" si="126">D149</f>
        <v>Auchan</v>
      </c>
      <c r="E150" s="14" t="str">
        <f t="shared" si="126"/>
        <v>yes</v>
      </c>
      <c r="F150" s="3" t="s">
        <v>23</v>
      </c>
      <c r="G150" s="13"/>
      <c r="H150" s="14" t="str">
        <f t="shared" ref="H150:I150" si="127">H149</f>
        <v>snacks</v>
      </c>
      <c r="I150" s="14" t="str">
        <f t="shared" si="127"/>
        <v>Alcampo</v>
      </c>
      <c r="J150" s="6">
        <v>1.34</v>
      </c>
      <c r="K150" s="4" t="s">
        <v>34</v>
      </c>
      <c r="L150" s="9">
        <f>J150/150*1000</f>
        <v>8.933333333</v>
      </c>
      <c r="M150" s="4" t="s">
        <v>35</v>
      </c>
      <c r="O150" s="9"/>
      <c r="P150" s="10">
        <f t="shared" si="125"/>
        <v>46131</v>
      </c>
      <c r="Q150" s="3" t="s">
        <v>28</v>
      </c>
    </row>
    <row r="151" ht="22.5" customHeight="1">
      <c r="A151" s="3" t="s">
        <v>117</v>
      </c>
      <c r="B151" s="4" t="s">
        <v>280</v>
      </c>
      <c r="C151" s="4" t="s">
        <v>119</v>
      </c>
      <c r="D151" s="12" t="str">
        <f t="shared" ref="D151:E151" si="128">D150</f>
        <v>Auchan</v>
      </c>
      <c r="E151" s="14" t="str">
        <f t="shared" si="128"/>
        <v>yes</v>
      </c>
      <c r="F151" s="3" t="s">
        <v>23</v>
      </c>
      <c r="G151" s="13"/>
      <c r="H151" s="14" t="str">
        <f t="shared" ref="H151:I151" si="129">H150</f>
        <v>snacks</v>
      </c>
      <c r="I151" s="14" t="str">
        <f t="shared" si="129"/>
        <v>Alcampo</v>
      </c>
      <c r="J151" s="6">
        <v>1.74</v>
      </c>
      <c r="K151" s="4" t="s">
        <v>34</v>
      </c>
      <c r="L151" s="9">
        <f>J151*10</f>
        <v>17.4</v>
      </c>
      <c r="M151" s="4" t="s">
        <v>35</v>
      </c>
      <c r="O151" s="9"/>
      <c r="P151" s="10">
        <f t="shared" si="125"/>
        <v>46131</v>
      </c>
      <c r="Q151" s="3" t="s">
        <v>28</v>
      </c>
    </row>
    <row r="152" ht="22.5" customHeight="1">
      <c r="A152" s="3" t="s">
        <v>18</v>
      </c>
      <c r="B152" s="4" t="s">
        <v>19</v>
      </c>
      <c r="C152" s="4" t="s">
        <v>20</v>
      </c>
      <c r="D152" s="4" t="s">
        <v>21</v>
      </c>
      <c r="E152" s="3" t="s">
        <v>22</v>
      </c>
      <c r="F152" s="3" t="s">
        <v>23</v>
      </c>
      <c r="G152" s="5"/>
      <c r="H152" s="3" t="s">
        <v>24</v>
      </c>
      <c r="I152" s="3" t="s">
        <v>25</v>
      </c>
      <c r="J152" s="6">
        <v>0.96</v>
      </c>
      <c r="K152" s="4" t="s">
        <v>26</v>
      </c>
      <c r="L152" s="9">
        <f t="shared" ref="L152:L154" si="130">J152</f>
        <v>0.96</v>
      </c>
      <c r="M152" s="4" t="s">
        <v>27</v>
      </c>
      <c r="N152" s="8"/>
      <c r="O152" s="9"/>
      <c r="P152" s="8">
        <v>46145.0</v>
      </c>
      <c r="Q152" s="3" t="s">
        <v>28</v>
      </c>
    </row>
    <row r="153" ht="22.5" customHeight="1">
      <c r="A153" s="3" t="s">
        <v>29</v>
      </c>
      <c r="B153" s="4" t="s">
        <v>30</v>
      </c>
      <c r="C153" s="4" t="s">
        <v>20</v>
      </c>
      <c r="D153" s="4" t="s">
        <v>21</v>
      </c>
      <c r="E153" s="3" t="s">
        <v>22</v>
      </c>
      <c r="F153" s="3" t="s">
        <v>23</v>
      </c>
      <c r="G153" s="5"/>
      <c r="H153" s="3" t="s">
        <v>24</v>
      </c>
      <c r="I153" s="3" t="s">
        <v>25</v>
      </c>
      <c r="J153" s="6">
        <v>0.84</v>
      </c>
      <c r="K153" s="4" t="s">
        <v>26</v>
      </c>
      <c r="L153" s="9">
        <f t="shared" si="130"/>
        <v>0.84</v>
      </c>
      <c r="M153" s="4" t="s">
        <v>27</v>
      </c>
      <c r="N153" s="8"/>
      <c r="O153" s="9"/>
      <c r="P153" s="8">
        <v>46145.0</v>
      </c>
      <c r="Q153" s="3" t="s">
        <v>28</v>
      </c>
    </row>
    <row r="154" ht="22.5" customHeight="1">
      <c r="A154" s="3" t="s">
        <v>31</v>
      </c>
      <c r="B154" s="4" t="s">
        <v>32</v>
      </c>
      <c r="C154" s="4" t="s">
        <v>33</v>
      </c>
      <c r="D154" s="4" t="s">
        <v>21</v>
      </c>
      <c r="E154" s="3" t="s">
        <v>22</v>
      </c>
      <c r="F154" s="3" t="s">
        <v>23</v>
      </c>
      <c r="G154" s="5"/>
      <c r="H154" s="3" t="s">
        <v>24</v>
      </c>
      <c r="I154" s="3" t="s">
        <v>25</v>
      </c>
      <c r="J154" s="6">
        <v>2.2</v>
      </c>
      <c r="K154" s="4" t="s">
        <v>34</v>
      </c>
      <c r="L154" s="9">
        <f t="shared" si="130"/>
        <v>2.2</v>
      </c>
      <c r="M154" s="4" t="s">
        <v>35</v>
      </c>
      <c r="O154" s="9"/>
      <c r="P154" s="10">
        <f t="shared" ref="P154:P156" si="131">P153</f>
        <v>46145</v>
      </c>
      <c r="Q154" s="3" t="s">
        <v>28</v>
      </c>
    </row>
    <row r="155" ht="22.5" customHeight="1">
      <c r="A155" s="3" t="s">
        <v>36</v>
      </c>
      <c r="B155" s="4" t="s">
        <v>37</v>
      </c>
      <c r="C155" s="4" t="s">
        <v>38</v>
      </c>
      <c r="D155" s="4" t="s">
        <v>21</v>
      </c>
      <c r="E155" s="3" t="s">
        <v>22</v>
      </c>
      <c r="F155" s="3" t="s">
        <v>23</v>
      </c>
      <c r="G155" s="5"/>
      <c r="H155" s="3" t="s">
        <v>24</v>
      </c>
      <c r="I155" s="3" t="s">
        <v>25</v>
      </c>
      <c r="J155" s="6">
        <v>1.0</v>
      </c>
      <c r="K155" s="4" t="s">
        <v>34</v>
      </c>
      <c r="L155" s="9">
        <f>J155/(6*125)*1000</f>
        <v>1.333333333</v>
      </c>
      <c r="M155" s="4" t="s">
        <v>35</v>
      </c>
      <c r="O155" s="9"/>
      <c r="P155" s="10">
        <f t="shared" si="131"/>
        <v>46145</v>
      </c>
      <c r="Q155" s="3" t="s">
        <v>28</v>
      </c>
    </row>
    <row r="156" ht="22.5" customHeight="1">
      <c r="A156" s="3" t="s">
        <v>39</v>
      </c>
      <c r="B156" s="4" t="s">
        <v>40</v>
      </c>
      <c r="C156" s="4" t="s">
        <v>41</v>
      </c>
      <c r="D156" s="4" t="s">
        <v>42</v>
      </c>
      <c r="E156" s="3" t="s">
        <v>43</v>
      </c>
      <c r="F156" s="3" t="s">
        <v>23</v>
      </c>
      <c r="G156" s="5"/>
      <c r="H156" s="3" t="s">
        <v>24</v>
      </c>
      <c r="I156" s="3" t="s">
        <v>25</v>
      </c>
      <c r="J156" s="6">
        <v>1.7</v>
      </c>
      <c r="K156" s="4" t="s">
        <v>34</v>
      </c>
      <c r="L156" s="9">
        <f>J156/(8*120)*1000</f>
        <v>1.770833333</v>
      </c>
      <c r="M156" s="4" t="s">
        <v>35</v>
      </c>
      <c r="O156" s="9"/>
      <c r="P156" s="10">
        <f t="shared" si="131"/>
        <v>46145</v>
      </c>
      <c r="Q156" s="3" t="s">
        <v>28</v>
      </c>
    </row>
    <row r="157" ht="22.5" customHeight="1">
      <c r="A157" s="3" t="s">
        <v>44</v>
      </c>
      <c r="B157" s="4" t="s">
        <v>45</v>
      </c>
      <c r="C157" s="4" t="s">
        <v>46</v>
      </c>
      <c r="D157" s="4" t="s">
        <v>21</v>
      </c>
      <c r="E157" s="3" t="s">
        <v>22</v>
      </c>
      <c r="F157" s="3" t="s">
        <v>23</v>
      </c>
      <c r="G157" s="5"/>
      <c r="H157" s="3" t="s">
        <v>24</v>
      </c>
      <c r="I157" s="3" t="s">
        <v>25</v>
      </c>
      <c r="J157" s="6">
        <v>2.05</v>
      </c>
      <c r="K157" s="4" t="s">
        <v>34</v>
      </c>
      <c r="L157" s="9">
        <f>J157/300*1000</f>
        <v>6.833333333</v>
      </c>
      <c r="M157" s="4" t="s">
        <v>35</v>
      </c>
      <c r="O157" s="9"/>
      <c r="P157" s="10">
        <f>P155</f>
        <v>46145</v>
      </c>
      <c r="Q157" s="3" t="s">
        <v>28</v>
      </c>
    </row>
    <row r="158" ht="22.5" customHeight="1">
      <c r="A158" s="3" t="s">
        <v>47</v>
      </c>
      <c r="B158" s="4" t="s">
        <v>48</v>
      </c>
      <c r="C158" s="4" t="s">
        <v>49</v>
      </c>
      <c r="D158" s="4" t="s">
        <v>21</v>
      </c>
      <c r="E158" s="3" t="s">
        <v>22</v>
      </c>
      <c r="F158" s="3" t="s">
        <v>23</v>
      </c>
      <c r="G158" s="5"/>
      <c r="H158" s="3" t="s">
        <v>24</v>
      </c>
      <c r="I158" s="3" t="s">
        <v>25</v>
      </c>
      <c r="J158" s="6">
        <v>1.65</v>
      </c>
      <c r="K158" s="4" t="s">
        <v>34</v>
      </c>
      <c r="L158" s="9">
        <f>J158/200*1000</f>
        <v>8.25</v>
      </c>
      <c r="M158" s="4" t="s">
        <v>35</v>
      </c>
      <c r="O158" s="9"/>
      <c r="P158" s="10">
        <f t="shared" ref="P158:P160" si="132">P157</f>
        <v>46145</v>
      </c>
      <c r="Q158" s="3" t="s">
        <v>28</v>
      </c>
    </row>
    <row r="159" ht="22.5" customHeight="1">
      <c r="A159" s="3" t="s">
        <v>50</v>
      </c>
      <c r="B159" s="4" t="s">
        <v>51</v>
      </c>
      <c r="C159" s="4" t="s">
        <v>52</v>
      </c>
      <c r="D159" s="4" t="s">
        <v>21</v>
      </c>
      <c r="E159" s="3" t="s">
        <v>22</v>
      </c>
      <c r="F159" s="3" t="s">
        <v>23</v>
      </c>
      <c r="G159" s="5"/>
      <c r="H159" s="3" t="s">
        <v>53</v>
      </c>
      <c r="I159" s="3" t="s">
        <v>25</v>
      </c>
      <c r="J159" s="6">
        <v>1.5</v>
      </c>
      <c r="K159" s="4" t="s">
        <v>34</v>
      </c>
      <c r="L159" s="9">
        <f t="shared" ref="L159:L161" si="133">J159/500*1000</f>
        <v>3</v>
      </c>
      <c r="M159" s="4" t="s">
        <v>35</v>
      </c>
      <c r="O159" s="9"/>
      <c r="P159" s="10">
        <f t="shared" si="132"/>
        <v>46145</v>
      </c>
      <c r="Q159" s="3" t="s">
        <v>28</v>
      </c>
    </row>
    <row r="160" ht="22.5" customHeight="1">
      <c r="A160" s="3" t="s">
        <v>54</v>
      </c>
      <c r="B160" s="4" t="s">
        <v>55</v>
      </c>
      <c r="C160" s="4" t="s">
        <v>52</v>
      </c>
      <c r="D160" s="4" t="s">
        <v>56</v>
      </c>
      <c r="E160" s="3" t="s">
        <v>43</v>
      </c>
      <c r="F160" s="3" t="s">
        <v>23</v>
      </c>
      <c r="G160" s="5"/>
      <c r="H160" s="3" t="s">
        <v>53</v>
      </c>
      <c r="I160" s="3" t="s">
        <v>25</v>
      </c>
      <c r="J160" s="6">
        <v>3.0</v>
      </c>
      <c r="K160" s="4" t="s">
        <v>34</v>
      </c>
      <c r="L160" s="9">
        <f t="shared" si="133"/>
        <v>6</v>
      </c>
      <c r="M160" s="4" t="str">
        <f>M159</f>
        <v>€/kg</v>
      </c>
      <c r="O160" s="9"/>
      <c r="P160" s="10">
        <f t="shared" si="132"/>
        <v>46145</v>
      </c>
      <c r="Q160" s="3" t="s">
        <v>28</v>
      </c>
    </row>
    <row r="161" ht="22.5" customHeight="1">
      <c r="A161" s="3" t="s">
        <v>57</v>
      </c>
      <c r="B161" s="4" t="s">
        <v>58</v>
      </c>
      <c r="C161" s="4" t="s">
        <v>52</v>
      </c>
      <c r="D161" s="4" t="s">
        <v>21</v>
      </c>
      <c r="E161" s="3" t="s">
        <v>22</v>
      </c>
      <c r="F161" s="3" t="s">
        <v>23</v>
      </c>
      <c r="G161" s="5"/>
      <c r="H161" s="3" t="s">
        <v>53</v>
      </c>
      <c r="I161" s="3" t="s">
        <v>25</v>
      </c>
      <c r="J161" s="6">
        <v>2.0</v>
      </c>
      <c r="K161" s="4" t="s">
        <v>34</v>
      </c>
      <c r="L161" s="9">
        <f t="shared" si="133"/>
        <v>4</v>
      </c>
      <c r="M161" s="4" t="s">
        <v>35</v>
      </c>
      <c r="O161" s="9"/>
      <c r="P161" s="10">
        <f>P159</f>
        <v>46145</v>
      </c>
      <c r="Q161" s="3" t="s">
        <v>28</v>
      </c>
    </row>
    <row r="162" ht="22.5" customHeight="1">
      <c r="A162" s="3" t="s">
        <v>59</v>
      </c>
      <c r="B162" s="4" t="s">
        <v>60</v>
      </c>
      <c r="C162" s="4" t="s">
        <v>20</v>
      </c>
      <c r="D162" s="4" t="s">
        <v>61</v>
      </c>
      <c r="E162" s="3" t="s">
        <v>43</v>
      </c>
      <c r="F162" s="3" t="s">
        <v>23</v>
      </c>
      <c r="G162" s="5"/>
      <c r="H162" s="3" t="s">
        <v>53</v>
      </c>
      <c r="I162" s="3" t="s">
        <v>25</v>
      </c>
      <c r="J162" s="6">
        <v>4.95</v>
      </c>
      <c r="K162" s="4" t="s">
        <v>26</v>
      </c>
      <c r="L162" s="9">
        <f t="shared" ref="L162:L163" si="134">J162</f>
        <v>4.95</v>
      </c>
      <c r="M162" s="4" t="s">
        <v>27</v>
      </c>
      <c r="O162" s="9"/>
      <c r="P162" s="10">
        <f t="shared" ref="P162:P163" si="135">P161</f>
        <v>46145</v>
      </c>
      <c r="Q162" s="3" t="s">
        <v>28</v>
      </c>
    </row>
    <row r="163" ht="22.5" customHeight="1">
      <c r="A163" s="3" t="s">
        <v>62</v>
      </c>
      <c r="B163" s="4" t="s">
        <v>63</v>
      </c>
      <c r="C163" s="4" t="s">
        <v>20</v>
      </c>
      <c r="D163" s="4" t="s">
        <v>21</v>
      </c>
      <c r="E163" s="3" t="s">
        <v>22</v>
      </c>
      <c r="F163" s="3" t="s">
        <v>23</v>
      </c>
      <c r="G163" s="5"/>
      <c r="H163" s="3" t="s">
        <v>53</v>
      </c>
      <c r="I163" s="3" t="s">
        <v>25</v>
      </c>
      <c r="J163" s="6">
        <v>1.85</v>
      </c>
      <c r="K163" s="4" t="s">
        <v>26</v>
      </c>
      <c r="L163" s="9">
        <f t="shared" si="134"/>
        <v>1.85</v>
      </c>
      <c r="M163" s="4" t="s">
        <v>27</v>
      </c>
      <c r="O163" s="9"/>
      <c r="P163" s="10">
        <f t="shared" si="135"/>
        <v>46145</v>
      </c>
      <c r="Q163" s="3" t="s">
        <v>28</v>
      </c>
    </row>
    <row r="164" ht="22.5" customHeight="1">
      <c r="A164" s="3" t="s">
        <v>64</v>
      </c>
      <c r="B164" s="4" t="s">
        <v>65</v>
      </c>
      <c r="C164" s="4" t="s">
        <v>66</v>
      </c>
      <c r="D164" s="4" t="s">
        <v>21</v>
      </c>
      <c r="E164" s="3" t="s">
        <v>22</v>
      </c>
      <c r="F164" s="3" t="s">
        <v>23</v>
      </c>
      <c r="G164" s="5"/>
      <c r="H164" s="3" t="s">
        <v>53</v>
      </c>
      <c r="I164" s="3" t="s">
        <v>25</v>
      </c>
      <c r="J164" s="6">
        <v>2.6</v>
      </c>
      <c r="K164" s="4" t="s">
        <v>34</v>
      </c>
      <c r="L164" s="9">
        <f>J164/250*1000</f>
        <v>10.4</v>
      </c>
      <c r="M164" s="4" t="s">
        <v>35</v>
      </c>
      <c r="O164" s="9"/>
      <c r="P164" s="10">
        <f>P161</f>
        <v>46145</v>
      </c>
      <c r="Q164" s="3" t="s">
        <v>28</v>
      </c>
    </row>
    <row r="165" ht="22.5" customHeight="1">
      <c r="A165" s="3" t="s">
        <v>67</v>
      </c>
      <c r="B165" s="4" t="s">
        <v>68</v>
      </c>
      <c r="C165" s="4" t="s">
        <v>69</v>
      </c>
      <c r="D165" s="4" t="s">
        <v>21</v>
      </c>
      <c r="E165" s="3" t="s">
        <v>22</v>
      </c>
      <c r="F165" s="3" t="s">
        <v>23</v>
      </c>
      <c r="G165" s="5"/>
      <c r="H165" s="3" t="s">
        <v>53</v>
      </c>
      <c r="I165" s="3" t="s">
        <v>25</v>
      </c>
      <c r="J165" s="6">
        <v>3.45</v>
      </c>
      <c r="K165" s="4" t="s">
        <v>10</v>
      </c>
      <c r="L165" s="9">
        <f>J165/16</f>
        <v>0.215625</v>
      </c>
      <c r="M165" s="4" t="s">
        <v>70</v>
      </c>
      <c r="O165" s="9"/>
      <c r="P165" s="10">
        <f t="shared" ref="P165:P167" si="136">P164</f>
        <v>46145</v>
      </c>
      <c r="Q165" s="3" t="s">
        <v>28</v>
      </c>
    </row>
    <row r="166" ht="22.5" customHeight="1">
      <c r="A166" s="3" t="s">
        <v>71</v>
      </c>
      <c r="B166" s="4" t="s">
        <v>72</v>
      </c>
      <c r="C166" s="4" t="s">
        <v>73</v>
      </c>
      <c r="D166" s="4" t="s">
        <v>74</v>
      </c>
      <c r="E166" s="3" t="s">
        <v>22</v>
      </c>
      <c r="F166" s="3" t="s">
        <v>23</v>
      </c>
      <c r="G166" s="5"/>
      <c r="H166" s="3" t="s">
        <v>75</v>
      </c>
      <c r="I166" s="3" t="s">
        <v>25</v>
      </c>
      <c r="J166" s="6">
        <v>2.95</v>
      </c>
      <c r="K166" s="4" t="s">
        <v>10</v>
      </c>
      <c r="L166" s="9">
        <f>J166/30</f>
        <v>0.09833333333</v>
      </c>
      <c r="M166" s="4" t="s">
        <v>70</v>
      </c>
      <c r="N166" s="4">
        <v>30.0</v>
      </c>
      <c r="O166" s="9">
        <f t="shared" ref="O166:O170" si="137">J166/N166</f>
        <v>0.09833333333</v>
      </c>
      <c r="P166" s="10">
        <f t="shared" si="136"/>
        <v>46145</v>
      </c>
      <c r="Q166" s="3" t="s">
        <v>28</v>
      </c>
    </row>
    <row r="167" ht="22.5" customHeight="1">
      <c r="A167" s="3" t="s">
        <v>76</v>
      </c>
      <c r="B167" s="4" t="s">
        <v>72</v>
      </c>
      <c r="C167" s="4" t="s">
        <v>77</v>
      </c>
      <c r="D167" s="4" t="s">
        <v>78</v>
      </c>
      <c r="E167" s="3" t="s">
        <v>43</v>
      </c>
      <c r="F167" s="3" t="s">
        <v>23</v>
      </c>
      <c r="G167" s="5"/>
      <c r="H167" s="3" t="s">
        <v>75</v>
      </c>
      <c r="I167" s="3" t="s">
        <v>25</v>
      </c>
      <c r="J167" s="6">
        <v>5.85</v>
      </c>
      <c r="K167" s="4" t="s">
        <v>10</v>
      </c>
      <c r="L167" s="9">
        <f>J167/35</f>
        <v>0.1671428571</v>
      </c>
      <c r="M167" s="4" t="str">
        <f>M166</f>
        <v>€/unit</v>
      </c>
      <c r="N167" s="4">
        <v>35.0</v>
      </c>
      <c r="O167" s="9">
        <f t="shared" si="137"/>
        <v>0.1671428571</v>
      </c>
      <c r="P167" s="10">
        <f t="shared" si="136"/>
        <v>46145</v>
      </c>
      <c r="Q167" s="3" t="s">
        <v>28</v>
      </c>
    </row>
    <row r="168" ht="22.5" customHeight="1">
      <c r="A168" s="3" t="s">
        <v>79</v>
      </c>
      <c r="B168" s="4" t="s">
        <v>80</v>
      </c>
      <c r="C168" s="4" t="s">
        <v>81</v>
      </c>
      <c r="D168" s="4" t="str">
        <f t="shared" ref="D168:E168" si="138">D166</f>
        <v>Bosque Verde</v>
      </c>
      <c r="E168" s="11" t="str">
        <f t="shared" si="138"/>
        <v>yes</v>
      </c>
      <c r="F168" s="3" t="s">
        <v>23</v>
      </c>
      <c r="G168" s="5"/>
      <c r="H168" s="11" t="str">
        <f t="shared" ref="H168:I168" si="139">H166</f>
        <v>cleaning</v>
      </c>
      <c r="I168" s="11" t="str">
        <f t="shared" si="139"/>
        <v>Mercadona</v>
      </c>
      <c r="J168" s="6">
        <v>3.45</v>
      </c>
      <c r="K168" s="4" t="s">
        <v>26</v>
      </c>
      <c r="L168" s="9">
        <f>J168/720*1000</f>
        <v>4.791666667</v>
      </c>
      <c r="M168" s="4" t="s">
        <v>27</v>
      </c>
      <c r="N168" s="4">
        <v>36.0</v>
      </c>
      <c r="O168" s="9">
        <f t="shared" si="137"/>
        <v>0.09583333333</v>
      </c>
      <c r="P168" s="10">
        <f>P166</f>
        <v>46145</v>
      </c>
      <c r="Q168" s="3" t="s">
        <v>28</v>
      </c>
    </row>
    <row r="169" ht="22.5" customHeight="1">
      <c r="A169" s="3" t="s">
        <v>82</v>
      </c>
      <c r="B169" s="4" t="s">
        <v>83</v>
      </c>
      <c r="C169" s="4" t="s">
        <v>84</v>
      </c>
      <c r="D169" s="4" t="s">
        <v>74</v>
      </c>
      <c r="E169" s="3" t="s">
        <v>22</v>
      </c>
      <c r="F169" s="3" t="s">
        <v>23</v>
      </c>
      <c r="G169" s="5"/>
      <c r="H169" s="3" t="s">
        <v>75</v>
      </c>
      <c r="I169" s="3" t="s">
        <v>25</v>
      </c>
      <c r="J169" s="6">
        <v>3.4</v>
      </c>
      <c r="K169" s="4" t="s">
        <v>26</v>
      </c>
      <c r="L169" s="9">
        <f>J169/3</f>
        <v>1.133333333</v>
      </c>
      <c r="M169" s="4" t="s">
        <v>27</v>
      </c>
      <c r="N169" s="4">
        <v>50.0</v>
      </c>
      <c r="O169" s="9">
        <f t="shared" si="137"/>
        <v>0.068</v>
      </c>
      <c r="P169" s="10">
        <f t="shared" ref="P169:P172" si="140">P168</f>
        <v>46145</v>
      </c>
      <c r="Q169" s="3" t="s">
        <v>28</v>
      </c>
    </row>
    <row r="170" ht="22.5" customHeight="1">
      <c r="A170" s="3" t="s">
        <v>85</v>
      </c>
      <c r="B170" s="4" t="s">
        <v>86</v>
      </c>
      <c r="C170" s="4" t="s">
        <v>87</v>
      </c>
      <c r="D170" s="4" t="s">
        <v>74</v>
      </c>
      <c r="E170" s="3" t="s">
        <v>22</v>
      </c>
      <c r="F170" s="3" t="s">
        <v>23</v>
      </c>
      <c r="G170" s="5"/>
      <c r="H170" s="3" t="s">
        <v>75</v>
      </c>
      <c r="I170" s="3" t="s">
        <v>25</v>
      </c>
      <c r="J170" s="6">
        <v>4.4</v>
      </c>
      <c r="K170" s="4" t="s">
        <v>10</v>
      </c>
      <c r="L170" s="9">
        <f>J170/24</f>
        <v>0.1833333333</v>
      </c>
      <c r="M170" s="4" t="s">
        <v>70</v>
      </c>
      <c r="N170" s="4">
        <v>24.0</v>
      </c>
      <c r="O170" s="9">
        <f t="shared" si="137"/>
        <v>0.1833333333</v>
      </c>
      <c r="P170" s="10">
        <f t="shared" si="140"/>
        <v>46145</v>
      </c>
      <c r="Q170" s="3" t="s">
        <v>28</v>
      </c>
    </row>
    <row r="171" ht="22.5" customHeight="1">
      <c r="A171" s="3" t="s">
        <v>88</v>
      </c>
      <c r="B171" s="4" t="s">
        <v>89</v>
      </c>
      <c r="C171" s="4" t="s">
        <v>90</v>
      </c>
      <c r="D171" s="4" t="s">
        <v>21</v>
      </c>
      <c r="E171" s="3" t="s">
        <v>22</v>
      </c>
      <c r="F171" s="3" t="s">
        <v>23</v>
      </c>
      <c r="G171" s="5"/>
      <c r="H171" s="3" t="s">
        <v>91</v>
      </c>
      <c r="I171" s="3" t="s">
        <v>25</v>
      </c>
      <c r="J171" s="6">
        <v>3.0</v>
      </c>
      <c r="K171" s="4" t="s">
        <v>10</v>
      </c>
      <c r="L171" s="9">
        <f t="shared" ref="L171:L173" si="141">J171/12</f>
        <v>0.25</v>
      </c>
      <c r="M171" s="4" t="s">
        <v>70</v>
      </c>
      <c r="O171" s="9"/>
      <c r="P171" s="10">
        <f t="shared" si="140"/>
        <v>46145</v>
      </c>
      <c r="Q171" s="3" t="s">
        <v>28</v>
      </c>
    </row>
    <row r="172" ht="22.5" customHeight="1">
      <c r="A172" s="3" t="s">
        <v>92</v>
      </c>
      <c r="B172" s="4" t="s">
        <v>93</v>
      </c>
      <c r="C172" s="4" t="s">
        <v>90</v>
      </c>
      <c r="D172" s="4" t="str">
        <f>D171</f>
        <v>Hacendado</v>
      </c>
      <c r="E172" s="3" t="s">
        <v>22</v>
      </c>
      <c r="F172" s="3" t="s">
        <v>23</v>
      </c>
      <c r="G172" s="5"/>
      <c r="H172" s="11" t="str">
        <f>H171</f>
        <v>fresh produce</v>
      </c>
      <c r="I172" s="3" t="s">
        <v>25</v>
      </c>
      <c r="J172" s="6">
        <v>3.2</v>
      </c>
      <c r="K172" s="4" t="s">
        <v>10</v>
      </c>
      <c r="L172" s="9">
        <f t="shared" si="141"/>
        <v>0.2666666667</v>
      </c>
      <c r="M172" s="4" t="s">
        <v>70</v>
      </c>
      <c r="O172" s="9"/>
      <c r="P172" s="10">
        <f t="shared" si="140"/>
        <v>46145</v>
      </c>
      <c r="Q172" s="3" t="s">
        <v>28</v>
      </c>
    </row>
    <row r="173" ht="22.5" customHeight="1">
      <c r="A173" s="3" t="s">
        <v>94</v>
      </c>
      <c r="B173" s="4" t="s">
        <v>95</v>
      </c>
      <c r="C173" s="4" t="s">
        <v>90</v>
      </c>
      <c r="D173" s="4" t="s">
        <v>21</v>
      </c>
      <c r="E173" s="3" t="s">
        <v>22</v>
      </c>
      <c r="F173" s="3" t="s">
        <v>23</v>
      </c>
      <c r="G173" s="5"/>
      <c r="H173" s="3" t="s">
        <v>91</v>
      </c>
      <c r="I173" s="3" t="s">
        <v>25</v>
      </c>
      <c r="J173" s="6">
        <v>3.5</v>
      </c>
      <c r="K173" s="4" t="s">
        <v>10</v>
      </c>
      <c r="L173" s="9">
        <f t="shared" si="141"/>
        <v>0.2916666667</v>
      </c>
      <c r="M173" s="4" t="s">
        <v>70</v>
      </c>
      <c r="O173" s="9"/>
      <c r="P173" s="10">
        <f>P171</f>
        <v>46145</v>
      </c>
      <c r="Q173" s="3" t="s">
        <v>28</v>
      </c>
    </row>
    <row r="174" ht="22.5" customHeight="1">
      <c r="A174" s="3" t="s">
        <v>96</v>
      </c>
      <c r="B174" s="4" t="s">
        <v>97</v>
      </c>
      <c r="C174" s="4" t="s">
        <v>98</v>
      </c>
      <c r="D174" s="4" t="s">
        <v>21</v>
      </c>
      <c r="E174" s="3" t="s">
        <v>22</v>
      </c>
      <c r="F174" s="3" t="s">
        <v>23</v>
      </c>
      <c r="G174" s="5"/>
      <c r="H174" s="3" t="s">
        <v>91</v>
      </c>
      <c r="I174" s="3" t="s">
        <v>25</v>
      </c>
      <c r="J174" s="6">
        <v>3.33</v>
      </c>
      <c r="K174" s="4" t="s">
        <v>34</v>
      </c>
      <c r="L174" s="9">
        <f>J174/500*1000</f>
        <v>6.66</v>
      </c>
      <c r="M174" s="4" t="s">
        <v>35</v>
      </c>
      <c r="O174" s="9"/>
      <c r="P174" s="10">
        <f t="shared" ref="P174:P186" si="142">P173</f>
        <v>46145</v>
      </c>
      <c r="Q174" s="3" t="s">
        <v>28</v>
      </c>
    </row>
    <row r="175" ht="22.5" customHeight="1">
      <c r="A175" s="3" t="s">
        <v>99</v>
      </c>
      <c r="B175" s="4" t="s">
        <v>100</v>
      </c>
      <c r="C175" s="4" t="s">
        <v>33</v>
      </c>
      <c r="D175" s="4" t="s">
        <v>101</v>
      </c>
      <c r="E175" s="3" t="s">
        <v>43</v>
      </c>
      <c r="F175" s="3" t="s">
        <v>23</v>
      </c>
      <c r="G175" s="5"/>
      <c r="H175" s="3" t="s">
        <v>91</v>
      </c>
      <c r="I175" s="3" t="s">
        <v>25</v>
      </c>
      <c r="J175" s="6">
        <v>1.55</v>
      </c>
      <c r="K175" s="4" t="s">
        <v>34</v>
      </c>
      <c r="L175" s="9">
        <f>J175</f>
        <v>1.55</v>
      </c>
      <c r="M175" s="4" t="s">
        <v>35</v>
      </c>
      <c r="O175" s="9"/>
      <c r="P175" s="10">
        <f t="shared" si="142"/>
        <v>46145</v>
      </c>
      <c r="Q175" s="3" t="s">
        <v>28</v>
      </c>
    </row>
    <row r="176" ht="22.5" customHeight="1">
      <c r="A176" s="3" t="s">
        <v>102</v>
      </c>
      <c r="B176" s="4" t="s">
        <v>103</v>
      </c>
      <c r="C176" s="4" t="s">
        <v>46</v>
      </c>
      <c r="D176" s="4" t="s">
        <v>21</v>
      </c>
      <c r="E176" s="3" t="s">
        <v>22</v>
      </c>
      <c r="F176" s="3" t="s">
        <v>23</v>
      </c>
      <c r="G176" s="5"/>
      <c r="H176" s="3" t="s">
        <v>104</v>
      </c>
      <c r="I176" s="3" t="s">
        <v>25</v>
      </c>
      <c r="J176" s="6">
        <v>1.8</v>
      </c>
      <c r="K176" s="4" t="s">
        <v>34</v>
      </c>
      <c r="L176" s="9">
        <f>J176/300*1000</f>
        <v>6</v>
      </c>
      <c r="M176" s="4" t="s">
        <v>35</v>
      </c>
      <c r="O176" s="9"/>
      <c r="P176" s="10">
        <f t="shared" si="142"/>
        <v>46145</v>
      </c>
      <c r="Q176" s="3" t="s">
        <v>28</v>
      </c>
    </row>
    <row r="177" ht="22.5" customHeight="1">
      <c r="A177" s="3" t="s">
        <v>105</v>
      </c>
      <c r="B177" s="4" t="s">
        <v>106</v>
      </c>
      <c r="C177" s="4" t="s">
        <v>107</v>
      </c>
      <c r="D177" s="4" t="s">
        <v>21</v>
      </c>
      <c r="E177" s="3" t="s">
        <v>22</v>
      </c>
      <c r="F177" s="3" t="s">
        <v>23</v>
      </c>
      <c r="G177" s="5"/>
      <c r="H177" s="3" t="s">
        <v>104</v>
      </c>
      <c r="I177" s="3" t="s">
        <v>25</v>
      </c>
      <c r="J177" s="6">
        <v>1.2</v>
      </c>
      <c r="K177" s="4" t="s">
        <v>34</v>
      </c>
      <c r="L177" s="9">
        <f>J177/150*1000</f>
        <v>8</v>
      </c>
      <c r="M177" s="4" t="s">
        <v>35</v>
      </c>
      <c r="O177" s="9"/>
      <c r="P177" s="10">
        <f t="shared" si="142"/>
        <v>46145</v>
      </c>
      <c r="Q177" s="3" t="s">
        <v>28</v>
      </c>
    </row>
    <row r="178" ht="22.5" customHeight="1">
      <c r="A178" s="3" t="s">
        <v>108</v>
      </c>
      <c r="B178" s="4" t="s">
        <v>109</v>
      </c>
      <c r="C178" s="4" t="s">
        <v>110</v>
      </c>
      <c r="D178" s="4" t="s">
        <v>21</v>
      </c>
      <c r="E178" s="3" t="s">
        <v>22</v>
      </c>
      <c r="F178" s="3" t="s">
        <v>23</v>
      </c>
      <c r="G178" s="5"/>
      <c r="H178" s="3" t="s">
        <v>104</v>
      </c>
      <c r="I178" s="3" t="s">
        <v>25</v>
      </c>
      <c r="J178" s="6">
        <v>1.55</v>
      </c>
      <c r="K178" s="4" t="s">
        <v>34</v>
      </c>
      <c r="L178" s="9">
        <f>J178/800*1000</f>
        <v>1.9375</v>
      </c>
      <c r="M178" s="4" t="s">
        <v>35</v>
      </c>
      <c r="O178" s="9"/>
      <c r="P178" s="10">
        <f t="shared" si="142"/>
        <v>46145</v>
      </c>
      <c r="Q178" s="3" t="s">
        <v>28</v>
      </c>
    </row>
    <row r="179" ht="22.5" customHeight="1">
      <c r="A179" s="3" t="s">
        <v>111</v>
      </c>
      <c r="B179" s="4" t="s">
        <v>112</v>
      </c>
      <c r="C179" s="4" t="s">
        <v>113</v>
      </c>
      <c r="D179" s="4" t="s">
        <v>21</v>
      </c>
      <c r="E179" s="3" t="s">
        <v>22</v>
      </c>
      <c r="F179" s="3" t="s">
        <v>23</v>
      </c>
      <c r="G179" s="5"/>
      <c r="H179" s="3" t="s">
        <v>104</v>
      </c>
      <c r="I179" s="3" t="s">
        <v>25</v>
      </c>
      <c r="J179" s="6">
        <v>1.4</v>
      </c>
      <c r="K179" s="4" t="s">
        <v>34</v>
      </c>
      <c r="L179" s="9">
        <f>J179/225*1000</f>
        <v>6.222222222</v>
      </c>
      <c r="M179" s="4" t="s">
        <v>35</v>
      </c>
      <c r="O179" s="9"/>
      <c r="P179" s="10">
        <f t="shared" si="142"/>
        <v>46145</v>
      </c>
      <c r="Q179" s="3" t="s">
        <v>28</v>
      </c>
    </row>
    <row r="180" ht="22.5" customHeight="1">
      <c r="A180" s="3" t="s">
        <v>114</v>
      </c>
      <c r="B180" s="4" t="s">
        <v>115</v>
      </c>
      <c r="C180" s="4" t="s">
        <v>116</v>
      </c>
      <c r="D180" s="4" t="s">
        <v>21</v>
      </c>
      <c r="E180" s="3" t="s">
        <v>22</v>
      </c>
      <c r="F180" s="3" t="s">
        <v>23</v>
      </c>
      <c r="G180" s="5"/>
      <c r="H180" s="3" t="s">
        <v>104</v>
      </c>
      <c r="I180" s="3" t="s">
        <v>25</v>
      </c>
      <c r="J180" s="6">
        <v>1.1</v>
      </c>
      <c r="K180" s="4" t="s">
        <v>34</v>
      </c>
      <c r="L180" s="9">
        <f>J180/125*1000</f>
        <v>8.8</v>
      </c>
      <c r="M180" s="4" t="s">
        <v>35</v>
      </c>
      <c r="O180" s="9"/>
      <c r="P180" s="10">
        <f t="shared" si="142"/>
        <v>46145</v>
      </c>
      <c r="Q180" s="3" t="s">
        <v>28</v>
      </c>
    </row>
    <row r="181" ht="22.5" customHeight="1">
      <c r="A181" s="3" t="s">
        <v>117</v>
      </c>
      <c r="B181" s="4" t="s">
        <v>118</v>
      </c>
      <c r="C181" s="4" t="s">
        <v>119</v>
      </c>
      <c r="D181" s="4" t="s">
        <v>21</v>
      </c>
      <c r="E181" s="3" t="s">
        <v>22</v>
      </c>
      <c r="F181" s="3" t="s">
        <v>23</v>
      </c>
      <c r="G181" s="5"/>
      <c r="H181" s="3" t="s">
        <v>104</v>
      </c>
      <c r="I181" s="3" t="s">
        <v>25</v>
      </c>
      <c r="J181" s="6">
        <v>1.75</v>
      </c>
      <c r="K181" s="4" t="s">
        <v>34</v>
      </c>
      <c r="L181" s="9">
        <f>J181/100*1000</f>
        <v>17.5</v>
      </c>
      <c r="M181" s="4" t="s">
        <v>35</v>
      </c>
      <c r="O181" s="9"/>
      <c r="P181" s="10">
        <f t="shared" si="142"/>
        <v>46145</v>
      </c>
      <c r="Q181" s="3" t="s">
        <v>28</v>
      </c>
    </row>
    <row r="182" ht="22.5" customHeight="1">
      <c r="A182" s="3" t="s">
        <v>18</v>
      </c>
      <c r="B182" s="4" t="s">
        <v>120</v>
      </c>
      <c r="C182" s="4" t="s">
        <v>20</v>
      </c>
      <c r="D182" s="4" t="s">
        <v>121</v>
      </c>
      <c r="E182" s="3" t="s">
        <v>22</v>
      </c>
      <c r="F182" s="3" t="s">
        <v>23</v>
      </c>
      <c r="G182" s="5"/>
      <c r="H182" s="3" t="s">
        <v>24</v>
      </c>
      <c r="I182" s="3" t="s">
        <v>121</v>
      </c>
      <c r="J182" s="6">
        <v>0.96</v>
      </c>
      <c r="K182" s="4" t="s">
        <v>26</v>
      </c>
      <c r="L182" s="9">
        <f t="shared" ref="L182:L184" si="144">J182</f>
        <v>0.96</v>
      </c>
      <c r="M182" s="4" t="s">
        <v>27</v>
      </c>
      <c r="O182" s="9"/>
      <c r="P182" s="10">
        <f t="shared" si="142"/>
        <v>46145</v>
      </c>
      <c r="Q182" s="3" t="s">
        <v>28</v>
      </c>
    </row>
    <row r="183" ht="22.5" customHeight="1">
      <c r="A183" s="3" t="s">
        <v>29</v>
      </c>
      <c r="B183" s="4" t="s">
        <v>122</v>
      </c>
      <c r="C183" s="4" t="s">
        <v>20</v>
      </c>
      <c r="D183" s="4" t="str">
        <f t="shared" ref="D183:D185" si="145">D182</f>
        <v>Consum</v>
      </c>
      <c r="E183" s="3" t="s">
        <v>22</v>
      </c>
      <c r="F183" s="3" t="s">
        <v>23</v>
      </c>
      <c r="G183" s="5"/>
      <c r="H183" s="11" t="str">
        <f t="shared" ref="H183:I183" si="143">H182</f>
        <v>dairy</v>
      </c>
      <c r="I183" s="11" t="str">
        <f t="shared" si="143"/>
        <v>Consum</v>
      </c>
      <c r="J183" s="6">
        <v>0.84</v>
      </c>
      <c r="K183" s="4" t="s">
        <v>26</v>
      </c>
      <c r="L183" s="9">
        <f t="shared" si="144"/>
        <v>0.84</v>
      </c>
      <c r="M183" s="4" t="s">
        <v>27</v>
      </c>
      <c r="O183" s="9"/>
      <c r="P183" s="10">
        <f t="shared" si="142"/>
        <v>46145</v>
      </c>
      <c r="Q183" s="3" t="s">
        <v>28</v>
      </c>
    </row>
    <row r="184" ht="22.5" customHeight="1">
      <c r="A184" s="3" t="s">
        <v>31</v>
      </c>
      <c r="B184" s="4" t="s">
        <v>123</v>
      </c>
      <c r="C184" s="4" t="s">
        <v>33</v>
      </c>
      <c r="D184" s="4" t="str">
        <f t="shared" si="145"/>
        <v>Consum</v>
      </c>
      <c r="E184" s="11" t="str">
        <f t="shared" ref="E184:E185" si="147">E183</f>
        <v>yes</v>
      </c>
      <c r="F184" s="3" t="s">
        <v>23</v>
      </c>
      <c r="G184" s="5"/>
      <c r="H184" s="11" t="str">
        <f t="shared" ref="H184:I184" si="146">H183</f>
        <v>dairy</v>
      </c>
      <c r="I184" s="11" t="str">
        <f t="shared" si="146"/>
        <v>Consum</v>
      </c>
      <c r="J184" s="6">
        <v>2.2</v>
      </c>
      <c r="K184" s="4" t="s">
        <v>34</v>
      </c>
      <c r="L184" s="9">
        <f t="shared" si="144"/>
        <v>2.2</v>
      </c>
      <c r="M184" s="4" t="s">
        <v>35</v>
      </c>
      <c r="O184" s="9"/>
      <c r="P184" s="10">
        <f t="shared" si="142"/>
        <v>46145</v>
      </c>
      <c r="Q184" s="3" t="s">
        <v>28</v>
      </c>
    </row>
    <row r="185" ht="22.5" customHeight="1">
      <c r="A185" s="3" t="s">
        <v>36</v>
      </c>
      <c r="B185" s="4" t="s">
        <v>124</v>
      </c>
      <c r="C185" s="4" t="s">
        <v>125</v>
      </c>
      <c r="D185" s="4" t="str">
        <f t="shared" si="145"/>
        <v>Consum</v>
      </c>
      <c r="E185" s="11" t="str">
        <f t="shared" si="147"/>
        <v>yes</v>
      </c>
      <c r="F185" s="3" t="s">
        <v>23</v>
      </c>
      <c r="G185" s="5"/>
      <c r="H185" s="11" t="str">
        <f t="shared" ref="H185:I185" si="148">H184</f>
        <v>dairy</v>
      </c>
      <c r="I185" s="11" t="str">
        <f t="shared" si="148"/>
        <v>Consum</v>
      </c>
      <c r="J185" s="6">
        <v>0.65</v>
      </c>
      <c r="K185" s="4" t="s">
        <v>34</v>
      </c>
      <c r="L185" s="9">
        <f>J185/(4*125)*1000</f>
        <v>1.3</v>
      </c>
      <c r="M185" s="4" t="s">
        <v>35</v>
      </c>
      <c r="O185" s="9"/>
      <c r="P185" s="10">
        <f t="shared" si="142"/>
        <v>46145</v>
      </c>
      <c r="Q185" s="3" t="s">
        <v>28</v>
      </c>
    </row>
    <row r="186" ht="22.5" customHeight="1">
      <c r="A186" s="3" t="s">
        <v>39</v>
      </c>
      <c r="B186" s="4" t="s">
        <v>124</v>
      </c>
      <c r="C186" s="4" t="s">
        <v>41</v>
      </c>
      <c r="D186" s="4" t="s">
        <v>42</v>
      </c>
      <c r="E186" s="3" t="s">
        <v>43</v>
      </c>
      <c r="F186" s="3" t="s">
        <v>23</v>
      </c>
      <c r="G186" s="5"/>
      <c r="H186" s="11" t="str">
        <f t="shared" ref="H186:I186" si="149">H185</f>
        <v>dairy</v>
      </c>
      <c r="I186" s="11" t="str">
        <f t="shared" si="149"/>
        <v>Consum</v>
      </c>
      <c r="J186" s="6">
        <v>1.69</v>
      </c>
      <c r="K186" s="4" t="s">
        <v>34</v>
      </c>
      <c r="L186" s="9">
        <f>J186/(8*120)*1000</f>
        <v>1.760416667</v>
      </c>
      <c r="M186" s="4" t="str">
        <f>M185</f>
        <v>€/kg</v>
      </c>
      <c r="O186" s="9"/>
      <c r="P186" s="10">
        <f t="shared" si="142"/>
        <v>46145</v>
      </c>
      <c r="Q186" s="3" t="s">
        <v>28</v>
      </c>
    </row>
    <row r="187" ht="22.5" customHeight="1">
      <c r="A187" s="3" t="s">
        <v>44</v>
      </c>
      <c r="B187" s="4" t="s">
        <v>126</v>
      </c>
      <c r="C187" s="4" t="s">
        <v>49</v>
      </c>
      <c r="D187" s="4" t="s">
        <v>127</v>
      </c>
      <c r="E187" s="3" t="s">
        <v>43</v>
      </c>
      <c r="F187" s="3" t="s">
        <v>23</v>
      </c>
      <c r="G187" s="4" t="s">
        <v>128</v>
      </c>
      <c r="H187" s="3" t="s">
        <v>24</v>
      </c>
      <c r="I187" s="3" t="s">
        <v>121</v>
      </c>
      <c r="J187" s="6">
        <v>1.69</v>
      </c>
      <c r="K187" s="4" t="s">
        <v>34</v>
      </c>
      <c r="L187" s="9">
        <f t="shared" ref="L187:L188" si="151">J187/200*1000</f>
        <v>8.45</v>
      </c>
      <c r="M187" s="4" t="s">
        <v>35</v>
      </c>
      <c r="O187" s="9"/>
      <c r="P187" s="10">
        <f>P185</f>
        <v>46145</v>
      </c>
      <c r="Q187" s="3" t="s">
        <v>28</v>
      </c>
    </row>
    <row r="188" ht="22.5" customHeight="1">
      <c r="A188" s="3" t="s">
        <v>47</v>
      </c>
      <c r="B188" s="4" t="s">
        <v>129</v>
      </c>
      <c r="C188" s="4" t="s">
        <v>49</v>
      </c>
      <c r="D188" s="4" t="s">
        <v>121</v>
      </c>
      <c r="E188" s="3" t="s">
        <v>22</v>
      </c>
      <c r="F188" s="3" t="s">
        <v>23</v>
      </c>
      <c r="G188" s="5"/>
      <c r="H188" s="11" t="str">
        <f t="shared" ref="H188:I188" si="150">H187</f>
        <v>dairy</v>
      </c>
      <c r="I188" s="11" t="str">
        <f t="shared" si="150"/>
        <v>Consum</v>
      </c>
      <c r="J188" s="6">
        <v>1.65</v>
      </c>
      <c r="K188" s="4" t="s">
        <v>34</v>
      </c>
      <c r="L188" s="9">
        <f t="shared" si="151"/>
        <v>8.25</v>
      </c>
      <c r="M188" s="4" t="s">
        <v>35</v>
      </c>
      <c r="O188" s="9"/>
      <c r="P188" s="10">
        <f t="shared" ref="P188:P190" si="153">P187</f>
        <v>46145</v>
      </c>
      <c r="Q188" s="3" t="s">
        <v>28</v>
      </c>
    </row>
    <row r="189" ht="22.5" customHeight="1">
      <c r="A189" s="3" t="s">
        <v>50</v>
      </c>
      <c r="B189" s="4" t="s">
        <v>130</v>
      </c>
      <c r="C189" s="4" t="s">
        <v>52</v>
      </c>
      <c r="D189" s="4" t="str">
        <f t="shared" ref="D189:E189" si="152">D188</f>
        <v>Consum</v>
      </c>
      <c r="E189" s="11" t="str">
        <f t="shared" si="152"/>
        <v>yes</v>
      </c>
      <c r="F189" s="3" t="s">
        <v>23</v>
      </c>
      <c r="G189" s="5"/>
      <c r="H189" s="3" t="s">
        <v>53</v>
      </c>
      <c r="I189" s="11" t="str">
        <f t="shared" ref="I189:I190" si="154">I188</f>
        <v>Consum</v>
      </c>
      <c r="J189" s="6">
        <v>1.35</v>
      </c>
      <c r="K189" s="4" t="s">
        <v>34</v>
      </c>
      <c r="L189" s="9">
        <f t="shared" ref="L189:L190" si="155">J189/500*1000</f>
        <v>2.7</v>
      </c>
      <c r="M189" s="4" t="s">
        <v>35</v>
      </c>
      <c r="O189" s="9"/>
      <c r="P189" s="10">
        <f t="shared" si="153"/>
        <v>46145</v>
      </c>
      <c r="Q189" s="3" t="s">
        <v>28</v>
      </c>
    </row>
    <row r="190" ht="22.5" customHeight="1">
      <c r="A190" s="3" t="s">
        <v>54</v>
      </c>
      <c r="B190" s="4" t="s">
        <v>131</v>
      </c>
      <c r="C190" s="4" t="s">
        <v>52</v>
      </c>
      <c r="D190" s="4" t="s">
        <v>56</v>
      </c>
      <c r="E190" s="3" t="s">
        <v>43</v>
      </c>
      <c r="F190" s="3" t="s">
        <v>23</v>
      </c>
      <c r="G190" s="5"/>
      <c r="H190" s="3" t="s">
        <v>53</v>
      </c>
      <c r="I190" s="11" t="str">
        <f t="shared" si="154"/>
        <v>Consum</v>
      </c>
      <c r="J190" s="6">
        <v>2.69</v>
      </c>
      <c r="K190" s="4" t="str">
        <f>K189</f>
        <v>kg</v>
      </c>
      <c r="L190" s="9">
        <f t="shared" si="155"/>
        <v>5.38</v>
      </c>
      <c r="M190" s="4" t="str">
        <f>M189</f>
        <v>€/kg</v>
      </c>
      <c r="O190" s="9"/>
      <c r="P190" s="10">
        <f t="shared" si="153"/>
        <v>46145</v>
      </c>
      <c r="Q190" s="3" t="s">
        <v>28</v>
      </c>
    </row>
    <row r="191" ht="22.5" customHeight="1">
      <c r="A191" s="3" t="s">
        <v>57</v>
      </c>
      <c r="B191" s="4" t="s">
        <v>132</v>
      </c>
      <c r="C191" s="4" t="s">
        <v>133</v>
      </c>
      <c r="D191" s="4" t="s">
        <v>134</v>
      </c>
      <c r="E191" s="3" t="s">
        <v>43</v>
      </c>
      <c r="F191" s="3" t="s">
        <v>135</v>
      </c>
      <c r="G191" s="4" t="s">
        <v>136</v>
      </c>
      <c r="H191" s="3" t="s">
        <v>53</v>
      </c>
      <c r="I191" s="3" t="s">
        <v>121</v>
      </c>
      <c r="J191" s="6">
        <v>4.59</v>
      </c>
      <c r="K191" s="4" t="s">
        <v>34</v>
      </c>
      <c r="L191" s="9">
        <f>J191/625*1000</f>
        <v>7.344</v>
      </c>
      <c r="M191" s="4" t="s">
        <v>35</v>
      </c>
      <c r="O191" s="9"/>
      <c r="P191" s="10">
        <f>P184</f>
        <v>46145</v>
      </c>
      <c r="Q191" s="3" t="s">
        <v>28</v>
      </c>
    </row>
    <row r="192" ht="22.5" customHeight="1">
      <c r="A192" s="3" t="s">
        <v>59</v>
      </c>
      <c r="B192" s="4" t="s">
        <v>137</v>
      </c>
      <c r="C192" s="4" t="s">
        <v>20</v>
      </c>
      <c r="D192" s="4" t="s">
        <v>61</v>
      </c>
      <c r="E192" s="3" t="s">
        <v>43</v>
      </c>
      <c r="F192" s="3" t="s">
        <v>23</v>
      </c>
      <c r="G192" s="5"/>
      <c r="H192" s="11" t="str">
        <f t="shared" ref="H192:I192" si="156">H191</f>
        <v>breakfast</v>
      </c>
      <c r="I192" s="11" t="str">
        <f t="shared" si="156"/>
        <v>Consum</v>
      </c>
      <c r="J192" s="6">
        <v>4.95</v>
      </c>
      <c r="K192" s="4" t="s">
        <v>26</v>
      </c>
      <c r="L192" s="9">
        <f t="shared" ref="L192:L193" si="157">J192</f>
        <v>4.95</v>
      </c>
      <c r="M192" s="4" t="s">
        <v>27</v>
      </c>
      <c r="O192" s="9"/>
      <c r="P192" s="10">
        <f>P183</f>
        <v>46145</v>
      </c>
      <c r="Q192" s="3" t="s">
        <v>28</v>
      </c>
    </row>
    <row r="193" ht="22.5" customHeight="1">
      <c r="A193" s="3" t="s">
        <v>62</v>
      </c>
      <c r="B193" s="4" t="s">
        <v>138</v>
      </c>
      <c r="C193" s="4" t="s">
        <v>20</v>
      </c>
      <c r="D193" s="4" t="s">
        <v>121</v>
      </c>
      <c r="E193" s="3" t="s">
        <v>22</v>
      </c>
      <c r="F193" s="3" t="s">
        <v>23</v>
      </c>
      <c r="G193" s="5"/>
      <c r="H193" s="3" t="s">
        <v>53</v>
      </c>
      <c r="I193" s="3" t="s">
        <v>121</v>
      </c>
      <c r="J193" s="6">
        <v>1.79</v>
      </c>
      <c r="K193" s="4" t="s">
        <v>26</v>
      </c>
      <c r="L193" s="9">
        <f t="shared" si="157"/>
        <v>1.79</v>
      </c>
      <c r="M193" s="4" t="s">
        <v>27</v>
      </c>
      <c r="O193" s="9"/>
      <c r="P193" s="10">
        <f t="shared" ref="P193:P195" si="159">P183</f>
        <v>46145</v>
      </c>
      <c r="Q193" s="3" t="s">
        <v>28</v>
      </c>
    </row>
    <row r="194" ht="22.5" customHeight="1">
      <c r="A194" s="3" t="s">
        <v>64</v>
      </c>
      <c r="B194" s="4" t="s">
        <v>139</v>
      </c>
      <c r="C194" s="4" t="s">
        <v>66</v>
      </c>
      <c r="D194" s="4" t="s">
        <v>121</v>
      </c>
      <c r="E194" s="3" t="s">
        <v>22</v>
      </c>
      <c r="F194" s="3" t="s">
        <v>23</v>
      </c>
      <c r="G194" s="5"/>
      <c r="H194" s="11" t="str">
        <f t="shared" ref="H194:I194" si="158">H193</f>
        <v>breakfast</v>
      </c>
      <c r="I194" s="11" t="str">
        <f t="shared" si="158"/>
        <v>Consum</v>
      </c>
      <c r="J194" s="6">
        <v>2.6</v>
      </c>
      <c r="K194" s="4" t="s">
        <v>34</v>
      </c>
      <c r="L194" s="9">
        <f>J194/250*1000</f>
        <v>10.4</v>
      </c>
      <c r="M194" s="4" t="s">
        <v>35</v>
      </c>
      <c r="O194" s="9"/>
      <c r="P194" s="10">
        <f t="shared" si="159"/>
        <v>46145</v>
      </c>
      <c r="Q194" s="3" t="s">
        <v>28</v>
      </c>
    </row>
    <row r="195" ht="22.5" customHeight="1">
      <c r="A195" s="3" t="s">
        <v>67</v>
      </c>
      <c r="B195" s="4" t="s">
        <v>140</v>
      </c>
      <c r="C195" s="4" t="s">
        <v>69</v>
      </c>
      <c r="D195" s="4" t="s">
        <v>141</v>
      </c>
      <c r="E195" s="3" t="s">
        <v>43</v>
      </c>
      <c r="F195" s="3" t="s">
        <v>23</v>
      </c>
      <c r="G195" s="5"/>
      <c r="H195" s="3" t="s">
        <v>53</v>
      </c>
      <c r="I195" s="11" t="str">
        <f t="shared" ref="I195:I197" si="160">I194</f>
        <v>Consum</v>
      </c>
      <c r="J195" s="6">
        <v>3.95</v>
      </c>
      <c r="K195" s="4" t="s">
        <v>10</v>
      </c>
      <c r="L195" s="9">
        <f>J195/16</f>
        <v>0.246875</v>
      </c>
      <c r="M195" s="4" t="s">
        <v>70</v>
      </c>
      <c r="O195" s="9"/>
      <c r="P195" s="10">
        <f t="shared" si="159"/>
        <v>46145</v>
      </c>
      <c r="Q195" s="3" t="s">
        <v>28</v>
      </c>
    </row>
    <row r="196" ht="22.5" customHeight="1">
      <c r="A196" s="3" t="s">
        <v>71</v>
      </c>
      <c r="B196" s="4" t="s">
        <v>142</v>
      </c>
      <c r="C196" s="4" t="s">
        <v>73</v>
      </c>
      <c r="D196" s="4" t="s">
        <v>121</v>
      </c>
      <c r="E196" s="3" t="s">
        <v>22</v>
      </c>
      <c r="F196" s="3" t="s">
        <v>23</v>
      </c>
      <c r="G196" s="5"/>
      <c r="H196" s="3" t="s">
        <v>75</v>
      </c>
      <c r="I196" s="11" t="str">
        <f t="shared" si="160"/>
        <v>Consum</v>
      </c>
      <c r="J196" s="6">
        <v>2.95</v>
      </c>
      <c r="K196" s="4" t="s">
        <v>10</v>
      </c>
      <c r="L196" s="9">
        <f>J196/30</f>
        <v>0.09833333333</v>
      </c>
      <c r="M196" s="4" t="s">
        <v>70</v>
      </c>
      <c r="N196" s="4">
        <v>30.0</v>
      </c>
      <c r="O196" s="9">
        <f t="shared" ref="O196:O200" si="161">J196/N196</f>
        <v>0.09833333333</v>
      </c>
      <c r="P196" s="10">
        <f t="shared" ref="P196:P197" si="162">P187</f>
        <v>46145</v>
      </c>
      <c r="Q196" s="3" t="s">
        <v>28</v>
      </c>
    </row>
    <row r="197" ht="22.5" customHeight="1">
      <c r="A197" s="3" t="s">
        <v>76</v>
      </c>
      <c r="B197" s="4" t="s">
        <v>143</v>
      </c>
      <c r="C197" s="4" t="s">
        <v>144</v>
      </c>
      <c r="D197" s="4" t="s">
        <v>78</v>
      </c>
      <c r="E197" s="3" t="s">
        <v>43</v>
      </c>
      <c r="F197" s="3" t="s">
        <v>23</v>
      </c>
      <c r="G197" s="5"/>
      <c r="H197" s="3" t="s">
        <v>75</v>
      </c>
      <c r="I197" s="11" t="str">
        <f t="shared" si="160"/>
        <v>Consum</v>
      </c>
      <c r="J197" s="6">
        <v>5.99</v>
      </c>
      <c r="K197" s="4" t="str">
        <f>K196</f>
        <v>unit</v>
      </c>
      <c r="L197" s="9">
        <f>J197/29</f>
        <v>0.2065517241</v>
      </c>
      <c r="M197" s="4" t="str">
        <f>M196</f>
        <v>€/unit</v>
      </c>
      <c r="N197" s="4">
        <v>29.0</v>
      </c>
      <c r="O197" s="9">
        <f t="shared" si="161"/>
        <v>0.2065517241</v>
      </c>
      <c r="P197" s="10">
        <f t="shared" si="162"/>
        <v>46145</v>
      </c>
      <c r="Q197" s="3" t="s">
        <v>28</v>
      </c>
    </row>
    <row r="198" ht="22.5" customHeight="1">
      <c r="A198" s="3" t="s">
        <v>79</v>
      </c>
      <c r="B198" s="4" t="s">
        <v>145</v>
      </c>
      <c r="C198" s="4" t="s">
        <v>81</v>
      </c>
      <c r="D198" s="4" t="str">
        <f>D196</f>
        <v>Consum</v>
      </c>
      <c r="E198" s="3" t="s">
        <v>22</v>
      </c>
      <c r="F198" s="3" t="s">
        <v>23</v>
      </c>
      <c r="G198" s="5"/>
      <c r="H198" s="11" t="str">
        <f t="shared" ref="H198:I198" si="163">H196</f>
        <v>cleaning</v>
      </c>
      <c r="I198" s="11" t="str">
        <f t="shared" si="163"/>
        <v>Consum</v>
      </c>
      <c r="J198" s="6">
        <v>3.45</v>
      </c>
      <c r="K198" s="4" t="s">
        <v>26</v>
      </c>
      <c r="L198" s="9">
        <f>J198/720*1000</f>
        <v>4.791666667</v>
      </c>
      <c r="M198" s="4" t="s">
        <v>27</v>
      </c>
      <c r="N198" s="4">
        <v>36.0</v>
      </c>
      <c r="O198" s="9">
        <f t="shared" si="161"/>
        <v>0.09583333333</v>
      </c>
      <c r="P198" s="10">
        <f t="shared" ref="P198:P199" si="165">P188</f>
        <v>46145</v>
      </c>
      <c r="Q198" s="3" t="s">
        <v>28</v>
      </c>
    </row>
    <row r="199" ht="22.5" customHeight="1">
      <c r="A199" s="3" t="s">
        <v>82</v>
      </c>
      <c r="B199" s="4" t="s">
        <v>146</v>
      </c>
      <c r="C199" s="4" t="s">
        <v>84</v>
      </c>
      <c r="D199" s="4" t="str">
        <f t="shared" ref="D199:D200" si="166">D198</f>
        <v>Consum</v>
      </c>
      <c r="E199" s="3" t="s">
        <v>22</v>
      </c>
      <c r="F199" s="3" t="s">
        <v>135</v>
      </c>
      <c r="G199" s="5"/>
      <c r="H199" s="11" t="str">
        <f t="shared" ref="H199:I199" si="164">H198</f>
        <v>cleaning</v>
      </c>
      <c r="I199" s="11" t="str">
        <f t="shared" si="164"/>
        <v>Consum</v>
      </c>
      <c r="J199" s="6">
        <v>4.09</v>
      </c>
      <c r="K199" s="4" t="s">
        <v>26</v>
      </c>
      <c r="L199" s="9">
        <f>J199/3</f>
        <v>1.363333333</v>
      </c>
      <c r="M199" s="4" t="s">
        <v>27</v>
      </c>
      <c r="N199" s="4">
        <v>60.0</v>
      </c>
      <c r="O199" s="9">
        <f t="shared" si="161"/>
        <v>0.06816666667</v>
      </c>
      <c r="P199" s="10">
        <f t="shared" si="165"/>
        <v>46145</v>
      </c>
      <c r="Q199" s="3" t="s">
        <v>28</v>
      </c>
      <c r="R199" s="4" t="s">
        <v>281</v>
      </c>
    </row>
    <row r="200" ht="22.5" customHeight="1">
      <c r="A200" s="3" t="s">
        <v>85</v>
      </c>
      <c r="B200" s="4" t="s">
        <v>149</v>
      </c>
      <c r="C200" s="4" t="s">
        <v>87</v>
      </c>
      <c r="D200" s="4" t="str">
        <f t="shared" si="166"/>
        <v>Consum</v>
      </c>
      <c r="E200" s="11" t="str">
        <f>E199</f>
        <v>yes</v>
      </c>
      <c r="F200" s="3" t="s">
        <v>23</v>
      </c>
      <c r="G200" s="5"/>
      <c r="H200" s="11" t="str">
        <f t="shared" ref="H200:I200" si="167">H199</f>
        <v>cleaning</v>
      </c>
      <c r="I200" s="11" t="str">
        <f t="shared" si="167"/>
        <v>Consum</v>
      </c>
      <c r="J200" s="6">
        <v>3.99</v>
      </c>
      <c r="K200" s="4" t="s">
        <v>10</v>
      </c>
      <c r="L200" s="9">
        <f>J200/24</f>
        <v>0.16625</v>
      </c>
      <c r="M200" s="4" t="s">
        <v>70</v>
      </c>
      <c r="N200" s="4">
        <v>24.0</v>
      </c>
      <c r="O200" s="9">
        <f t="shared" si="161"/>
        <v>0.16625</v>
      </c>
      <c r="P200" s="10">
        <f t="shared" ref="P200:P202" si="168">P191</f>
        <v>46145</v>
      </c>
      <c r="Q200" s="3" t="s">
        <v>28</v>
      </c>
    </row>
    <row r="201" ht="22.5" customHeight="1">
      <c r="A201" s="3" t="s">
        <v>88</v>
      </c>
      <c r="B201" s="4" t="s">
        <v>150</v>
      </c>
      <c r="C201" s="4" t="s">
        <v>90</v>
      </c>
      <c r="D201" s="4" t="s">
        <v>151</v>
      </c>
      <c r="E201" s="3" t="s">
        <v>43</v>
      </c>
      <c r="F201" s="3" t="s">
        <v>23</v>
      </c>
      <c r="G201" s="5"/>
      <c r="H201" s="3" t="s">
        <v>91</v>
      </c>
      <c r="I201" s="3" t="s">
        <v>121</v>
      </c>
      <c r="J201" s="6">
        <v>3.0</v>
      </c>
      <c r="K201" s="4" t="s">
        <v>10</v>
      </c>
      <c r="L201" s="9">
        <f t="shared" ref="L201:L202" si="170">J201/12</f>
        <v>0.25</v>
      </c>
      <c r="M201" s="4" t="s">
        <v>70</v>
      </c>
      <c r="O201" s="9"/>
      <c r="P201" s="10">
        <f t="shared" si="168"/>
        <v>46145</v>
      </c>
      <c r="Q201" s="3" t="s">
        <v>28</v>
      </c>
    </row>
    <row r="202" ht="22.5" customHeight="1">
      <c r="A202" s="3" t="s">
        <v>92</v>
      </c>
      <c r="B202" s="4" t="s">
        <v>152</v>
      </c>
      <c r="C202" s="4" t="s">
        <v>90</v>
      </c>
      <c r="D202" s="4" t="str">
        <f>D201</f>
        <v>Monterde</v>
      </c>
      <c r="E202" s="3" t="s">
        <v>43</v>
      </c>
      <c r="F202" s="3" t="s">
        <v>23</v>
      </c>
      <c r="G202" s="5"/>
      <c r="H202" s="11" t="str">
        <f t="shared" ref="H202:I202" si="169">H201</f>
        <v>fresh produce</v>
      </c>
      <c r="I202" s="11" t="str">
        <f t="shared" si="169"/>
        <v>Consum</v>
      </c>
      <c r="J202" s="6">
        <v>3.2</v>
      </c>
      <c r="K202" s="4" t="s">
        <v>10</v>
      </c>
      <c r="L202" s="9">
        <f t="shared" si="170"/>
        <v>0.2666666667</v>
      </c>
      <c r="M202" s="4" t="s">
        <v>70</v>
      </c>
      <c r="O202" s="9"/>
      <c r="P202" s="10">
        <f t="shared" si="168"/>
        <v>46145</v>
      </c>
      <c r="Q202" s="3" t="s">
        <v>28</v>
      </c>
    </row>
    <row r="203" ht="22.5" customHeight="1">
      <c r="A203" s="3" t="s">
        <v>94</v>
      </c>
      <c r="B203" s="4" t="s">
        <v>153</v>
      </c>
      <c r="C203" s="4" t="s">
        <v>154</v>
      </c>
      <c r="D203" s="4" t="str">
        <f t="shared" ref="D203:E203" si="171">D201</f>
        <v>Monterde</v>
      </c>
      <c r="E203" s="11" t="str">
        <f t="shared" si="171"/>
        <v>no</v>
      </c>
      <c r="F203" s="3" t="s">
        <v>23</v>
      </c>
      <c r="G203" s="4" t="s">
        <v>155</v>
      </c>
      <c r="H203" s="11" t="str">
        <f t="shared" ref="H203:I203" si="172">H201</f>
        <v>fresh produce</v>
      </c>
      <c r="I203" s="11" t="str">
        <f t="shared" si="172"/>
        <v>Consum</v>
      </c>
      <c r="J203" s="6">
        <v>2.9</v>
      </c>
      <c r="K203" s="4" t="s">
        <v>10</v>
      </c>
      <c r="L203" s="9">
        <f>J203/10</f>
        <v>0.29</v>
      </c>
      <c r="M203" s="4" t="s">
        <v>70</v>
      </c>
      <c r="O203" s="9"/>
      <c r="P203" s="10">
        <f>P185</f>
        <v>46145</v>
      </c>
      <c r="Q203" s="3" t="s">
        <v>28</v>
      </c>
    </row>
    <row r="204" ht="22.5" customHeight="1">
      <c r="A204" s="3" t="s">
        <v>96</v>
      </c>
      <c r="B204" s="4" t="s">
        <v>156</v>
      </c>
      <c r="C204" s="4" t="s">
        <v>157</v>
      </c>
      <c r="D204" s="4" t="str">
        <f>D200</f>
        <v>Consum</v>
      </c>
      <c r="E204" s="3" t="s">
        <v>22</v>
      </c>
      <c r="F204" s="3" t="s">
        <v>23</v>
      </c>
      <c r="G204" s="5"/>
      <c r="H204" s="11" t="str">
        <f t="shared" ref="H204:I204" si="173">H203</f>
        <v>fresh produce</v>
      </c>
      <c r="I204" s="11" t="str">
        <f t="shared" si="173"/>
        <v>Consum</v>
      </c>
      <c r="J204" s="6">
        <v>4.19</v>
      </c>
      <c r="K204" s="4" t="s">
        <v>34</v>
      </c>
      <c r="L204" s="9">
        <f>J204/600*1000</f>
        <v>6.983333333</v>
      </c>
      <c r="M204" s="4" t="s">
        <v>35</v>
      </c>
      <c r="O204" s="9"/>
      <c r="P204" s="10">
        <f t="shared" ref="P204:P207" si="175">P187</f>
        <v>46145</v>
      </c>
      <c r="Q204" s="3" t="s">
        <v>28</v>
      </c>
    </row>
    <row r="205" ht="22.5" customHeight="1">
      <c r="A205" s="3" t="s">
        <v>99</v>
      </c>
      <c r="B205" s="4" t="s">
        <v>100</v>
      </c>
      <c r="C205" s="4" t="s">
        <v>33</v>
      </c>
      <c r="D205" s="4" t="s">
        <v>101</v>
      </c>
      <c r="E205" s="3" t="s">
        <v>43</v>
      </c>
      <c r="F205" s="3" t="s">
        <v>23</v>
      </c>
      <c r="G205" s="5"/>
      <c r="H205" s="11" t="str">
        <f t="shared" ref="H205:I205" si="174">H204</f>
        <v>fresh produce</v>
      </c>
      <c r="I205" s="11" t="str">
        <f t="shared" si="174"/>
        <v>Consum</v>
      </c>
      <c r="J205" s="6">
        <v>1.55</v>
      </c>
      <c r="K205" s="4" t="s">
        <v>34</v>
      </c>
      <c r="L205" s="9">
        <f>J205</f>
        <v>1.55</v>
      </c>
      <c r="M205" s="4" t="s">
        <v>35</v>
      </c>
      <c r="O205" s="9"/>
      <c r="P205" s="10">
        <f t="shared" si="175"/>
        <v>46145</v>
      </c>
      <c r="Q205" s="3" t="s">
        <v>28</v>
      </c>
    </row>
    <row r="206" ht="22.5" customHeight="1">
      <c r="A206" s="3" t="s">
        <v>102</v>
      </c>
      <c r="B206" s="4" t="s">
        <v>158</v>
      </c>
      <c r="C206" s="4" t="s">
        <v>159</v>
      </c>
      <c r="D206" s="4" t="str">
        <f>D204</f>
        <v>Consum</v>
      </c>
      <c r="E206" s="3" t="s">
        <v>22</v>
      </c>
      <c r="F206" s="3" t="s">
        <v>23</v>
      </c>
      <c r="G206" s="5"/>
      <c r="H206" s="3" t="s">
        <v>104</v>
      </c>
      <c r="I206" s="3" t="s">
        <v>121</v>
      </c>
      <c r="J206" s="6">
        <v>1.8</v>
      </c>
      <c r="K206" s="4" t="s">
        <v>34</v>
      </c>
      <c r="L206" s="9">
        <f>J206/300*1000</f>
        <v>6</v>
      </c>
      <c r="M206" s="4" t="s">
        <v>35</v>
      </c>
      <c r="O206" s="9"/>
      <c r="P206" s="10">
        <f t="shared" si="175"/>
        <v>46145</v>
      </c>
      <c r="Q206" s="3" t="s">
        <v>28</v>
      </c>
    </row>
    <row r="207" ht="22.5" customHeight="1">
      <c r="A207" s="3" t="s">
        <v>160</v>
      </c>
      <c r="B207" s="4" t="s">
        <v>161</v>
      </c>
      <c r="C207" s="4" t="s">
        <v>162</v>
      </c>
      <c r="D207" s="4" t="s">
        <v>163</v>
      </c>
      <c r="E207" s="3" t="s">
        <v>43</v>
      </c>
      <c r="F207" s="3" t="s">
        <v>23</v>
      </c>
      <c r="G207" s="5"/>
      <c r="H207" s="3" t="s">
        <v>104</v>
      </c>
      <c r="I207" s="3" t="s">
        <v>121</v>
      </c>
      <c r="J207" s="6">
        <v>2.49</v>
      </c>
      <c r="K207" s="4" t="str">
        <f>K206</f>
        <v>kg</v>
      </c>
      <c r="L207" s="9">
        <f>J207/248*1000</f>
        <v>10.04032258</v>
      </c>
      <c r="M207" s="4" t="str">
        <f>M206</f>
        <v>€/kg</v>
      </c>
      <c r="O207" s="9"/>
      <c r="P207" s="10">
        <f t="shared" si="175"/>
        <v>46145</v>
      </c>
      <c r="Q207" s="3" t="s">
        <v>28</v>
      </c>
    </row>
    <row r="208" ht="22.5" customHeight="1">
      <c r="A208" s="3" t="s">
        <v>105</v>
      </c>
      <c r="B208" s="4" t="s">
        <v>164</v>
      </c>
      <c r="C208" s="4" t="s">
        <v>107</v>
      </c>
      <c r="D208" s="4" t="str">
        <f>D206</f>
        <v>Consum</v>
      </c>
      <c r="E208" s="3" t="s">
        <v>22</v>
      </c>
      <c r="F208" s="3" t="s">
        <v>23</v>
      </c>
      <c r="G208" s="5"/>
      <c r="H208" s="3" t="s">
        <v>104</v>
      </c>
      <c r="I208" s="3" t="s">
        <v>121</v>
      </c>
      <c r="J208" s="6">
        <v>1.2</v>
      </c>
      <c r="K208" s="4" t="s">
        <v>34</v>
      </c>
      <c r="L208" s="9">
        <f>J208/150*1000</f>
        <v>8</v>
      </c>
      <c r="M208" s="4" t="s">
        <v>35</v>
      </c>
      <c r="O208" s="9"/>
      <c r="P208" s="10">
        <f>P189</f>
        <v>46145</v>
      </c>
      <c r="Q208" s="3" t="s">
        <v>28</v>
      </c>
    </row>
    <row r="209" ht="22.5" customHeight="1">
      <c r="A209" s="3" t="s">
        <v>108</v>
      </c>
      <c r="B209" s="4" t="s">
        <v>109</v>
      </c>
      <c r="C209" s="4" t="s">
        <v>110</v>
      </c>
      <c r="D209" s="4" t="str">
        <f t="shared" ref="D209:D210" si="177">D208</f>
        <v>Consum</v>
      </c>
      <c r="E209" s="3" t="s">
        <v>22</v>
      </c>
      <c r="F209" s="3" t="s">
        <v>23</v>
      </c>
      <c r="G209" s="5"/>
      <c r="H209" s="11" t="str">
        <f t="shared" ref="H209:I209" si="176">H208</f>
        <v>snacks</v>
      </c>
      <c r="I209" s="11" t="str">
        <f t="shared" si="176"/>
        <v>Consum</v>
      </c>
      <c r="J209" s="6">
        <v>1.55</v>
      </c>
      <c r="K209" s="4" t="s">
        <v>34</v>
      </c>
      <c r="L209" s="9">
        <f>J209/800*1000</f>
        <v>1.9375</v>
      </c>
      <c r="M209" s="4" t="s">
        <v>35</v>
      </c>
      <c r="O209" s="9"/>
      <c r="P209" s="10">
        <f>P191</f>
        <v>46145</v>
      </c>
      <c r="Q209" s="3" t="s">
        <v>28</v>
      </c>
    </row>
    <row r="210" ht="22.5" customHeight="1">
      <c r="A210" s="3" t="s">
        <v>111</v>
      </c>
      <c r="B210" s="4" t="s">
        <v>165</v>
      </c>
      <c r="C210" s="4" t="s">
        <v>113</v>
      </c>
      <c r="D210" s="4" t="str">
        <f t="shared" si="177"/>
        <v>Consum</v>
      </c>
      <c r="E210" s="3" t="s">
        <v>22</v>
      </c>
      <c r="F210" s="3" t="s">
        <v>23</v>
      </c>
      <c r="G210" s="5"/>
      <c r="H210" s="11" t="str">
        <f t="shared" ref="H210:I210" si="178">H209</f>
        <v>snacks</v>
      </c>
      <c r="I210" s="11" t="str">
        <f t="shared" si="178"/>
        <v>Consum</v>
      </c>
      <c r="J210" s="6">
        <v>1.35</v>
      </c>
      <c r="K210" s="4" t="s">
        <v>34</v>
      </c>
      <c r="L210" s="9">
        <f>J210/225*1000</f>
        <v>6</v>
      </c>
      <c r="M210" s="4" t="s">
        <v>35</v>
      </c>
      <c r="O210" s="9"/>
      <c r="P210" s="10">
        <f t="shared" ref="P210:P212" si="180">P191</f>
        <v>46145</v>
      </c>
      <c r="Q210" s="3" t="s">
        <v>28</v>
      </c>
    </row>
    <row r="211" ht="22.5" customHeight="1">
      <c r="A211" s="3" t="s">
        <v>114</v>
      </c>
      <c r="B211" s="4" t="s">
        <v>166</v>
      </c>
      <c r="C211" s="4" t="s">
        <v>107</v>
      </c>
      <c r="D211" s="4" t="s">
        <v>121</v>
      </c>
      <c r="E211" s="3" t="s">
        <v>22</v>
      </c>
      <c r="F211" s="3" t="s">
        <v>23</v>
      </c>
      <c r="G211" s="5"/>
      <c r="H211" s="11" t="str">
        <f t="shared" ref="H211:I211" si="179">H210</f>
        <v>snacks</v>
      </c>
      <c r="I211" s="11" t="str">
        <f t="shared" si="179"/>
        <v>Consum</v>
      </c>
      <c r="J211" s="6">
        <v>1.39</v>
      </c>
      <c r="K211" s="4" t="s">
        <v>34</v>
      </c>
      <c r="L211" s="9">
        <f>J211/150*1000</f>
        <v>9.266666667</v>
      </c>
      <c r="M211" s="4" t="s">
        <v>35</v>
      </c>
      <c r="O211" s="9"/>
      <c r="P211" s="10">
        <f t="shared" si="180"/>
        <v>46145</v>
      </c>
      <c r="Q211" s="3" t="s">
        <v>28</v>
      </c>
    </row>
    <row r="212" ht="22.5" customHeight="1">
      <c r="A212" s="3" t="s">
        <v>117</v>
      </c>
      <c r="B212" s="4" t="s">
        <v>167</v>
      </c>
      <c r="C212" s="4" t="s">
        <v>119</v>
      </c>
      <c r="D212" s="4" t="str">
        <f>D211</f>
        <v>Consum</v>
      </c>
      <c r="E212" s="3" t="s">
        <v>22</v>
      </c>
      <c r="F212" s="3" t="s">
        <v>23</v>
      </c>
      <c r="G212" s="5"/>
      <c r="H212" s="11" t="str">
        <f t="shared" ref="H212:I212" si="181">H211</f>
        <v>snacks</v>
      </c>
      <c r="I212" s="11" t="str">
        <f t="shared" si="181"/>
        <v>Consum</v>
      </c>
      <c r="J212" s="6">
        <v>1.75</v>
      </c>
      <c r="K212" s="4" t="s">
        <v>34</v>
      </c>
      <c r="L212" s="9">
        <f>J212/100*1000</f>
        <v>17.5</v>
      </c>
      <c r="M212" s="4" t="s">
        <v>35</v>
      </c>
      <c r="O212" s="9"/>
      <c r="P212" s="10">
        <f t="shared" si="180"/>
        <v>46145</v>
      </c>
      <c r="Q212" s="3" t="s">
        <v>28</v>
      </c>
    </row>
    <row r="213" ht="22.5" customHeight="1">
      <c r="A213" s="3" t="s">
        <v>18</v>
      </c>
      <c r="B213" s="4" t="s">
        <v>168</v>
      </c>
      <c r="C213" s="4" t="s">
        <v>20</v>
      </c>
      <c r="D213" s="4" t="s">
        <v>169</v>
      </c>
      <c r="E213" s="3" t="s">
        <v>22</v>
      </c>
      <c r="F213" s="3" t="s">
        <v>23</v>
      </c>
      <c r="G213" s="5"/>
      <c r="H213" s="3" t="s">
        <v>24</v>
      </c>
      <c r="I213" s="3" t="s">
        <v>169</v>
      </c>
      <c r="J213" s="6">
        <v>0.96</v>
      </c>
      <c r="K213" s="4" t="s">
        <v>26</v>
      </c>
      <c r="L213" s="9">
        <f t="shared" ref="L213:L215" si="182">J213</f>
        <v>0.96</v>
      </c>
      <c r="M213" s="4" t="s">
        <v>27</v>
      </c>
      <c r="O213" s="9"/>
      <c r="P213" s="10">
        <f>P181</f>
        <v>46145</v>
      </c>
      <c r="Q213" s="3" t="s">
        <v>28</v>
      </c>
    </row>
    <row r="214" ht="22.5" customHeight="1">
      <c r="A214" s="3" t="s">
        <v>29</v>
      </c>
      <c r="B214" s="4" t="s">
        <v>170</v>
      </c>
      <c r="C214" s="4" t="s">
        <v>20</v>
      </c>
      <c r="D214" s="4" t="str">
        <f>D213</f>
        <v>Carrefour</v>
      </c>
      <c r="E214" s="3" t="s">
        <v>22</v>
      </c>
      <c r="F214" s="3" t="s">
        <v>23</v>
      </c>
      <c r="G214" s="5"/>
      <c r="H214" s="3" t="s">
        <v>24</v>
      </c>
      <c r="I214" s="3" t="s">
        <v>169</v>
      </c>
      <c r="J214" s="6">
        <v>0.84</v>
      </c>
      <c r="K214" s="4" t="s">
        <v>26</v>
      </c>
      <c r="L214" s="9">
        <f t="shared" si="182"/>
        <v>0.84</v>
      </c>
      <c r="M214" s="4" t="s">
        <v>27</v>
      </c>
      <c r="O214" s="9"/>
      <c r="P214" s="10">
        <f t="shared" ref="P214:P217" si="183">P213</f>
        <v>46145</v>
      </c>
      <c r="Q214" s="3" t="s">
        <v>28</v>
      </c>
    </row>
    <row r="215" ht="22.5" customHeight="1">
      <c r="A215" s="3" t="s">
        <v>31</v>
      </c>
      <c r="B215" s="4" t="s">
        <v>32</v>
      </c>
      <c r="C215" s="4" t="s">
        <v>33</v>
      </c>
      <c r="D215" s="4" t="s">
        <v>171</v>
      </c>
      <c r="E215" s="3" t="s">
        <v>22</v>
      </c>
      <c r="F215" s="3" t="s">
        <v>23</v>
      </c>
      <c r="G215" s="5"/>
      <c r="H215" s="3" t="s">
        <v>24</v>
      </c>
      <c r="I215" s="3" t="s">
        <v>169</v>
      </c>
      <c r="J215" s="6">
        <v>2.29</v>
      </c>
      <c r="K215" s="4" t="s">
        <v>34</v>
      </c>
      <c r="L215" s="9">
        <f t="shared" si="182"/>
        <v>2.29</v>
      </c>
      <c r="M215" s="4" t="s">
        <v>35</v>
      </c>
      <c r="O215" s="9"/>
      <c r="P215" s="10">
        <f t="shared" si="183"/>
        <v>46145</v>
      </c>
      <c r="Q215" s="3" t="s">
        <v>28</v>
      </c>
    </row>
    <row r="216" ht="22.5" customHeight="1">
      <c r="A216" s="3" t="s">
        <v>36</v>
      </c>
      <c r="B216" s="4" t="s">
        <v>172</v>
      </c>
      <c r="C216" s="4" t="s">
        <v>125</v>
      </c>
      <c r="D216" s="4" t="s">
        <v>173</v>
      </c>
      <c r="E216" s="3" t="s">
        <v>22</v>
      </c>
      <c r="F216" s="3" t="s">
        <v>23</v>
      </c>
      <c r="G216" s="5"/>
      <c r="H216" s="3" t="s">
        <v>24</v>
      </c>
      <c r="I216" s="3" t="s">
        <v>169</v>
      </c>
      <c r="J216" s="6">
        <v>0.85</v>
      </c>
      <c r="K216" s="4" t="s">
        <v>34</v>
      </c>
      <c r="L216" s="9">
        <f>J216/(4*125)*1000</f>
        <v>1.7</v>
      </c>
      <c r="M216" s="4" t="s">
        <v>35</v>
      </c>
      <c r="O216" s="9"/>
      <c r="P216" s="10">
        <f t="shared" si="183"/>
        <v>46145</v>
      </c>
      <c r="Q216" s="3" t="s">
        <v>28</v>
      </c>
    </row>
    <row r="217" ht="22.5" customHeight="1">
      <c r="A217" s="3" t="s">
        <v>39</v>
      </c>
      <c r="B217" s="4" t="s">
        <v>172</v>
      </c>
      <c r="C217" s="4" t="s">
        <v>41</v>
      </c>
      <c r="D217" s="4" t="s">
        <v>42</v>
      </c>
      <c r="E217" s="3" t="s">
        <v>43</v>
      </c>
      <c r="F217" s="3" t="s">
        <v>23</v>
      </c>
      <c r="G217" s="5"/>
      <c r="H217" s="3" t="s">
        <v>24</v>
      </c>
      <c r="I217" s="3" t="s">
        <v>169</v>
      </c>
      <c r="J217" s="6">
        <v>1.95</v>
      </c>
      <c r="K217" s="4" t="s">
        <v>34</v>
      </c>
      <c r="L217" s="9">
        <f>J217/(8*120)*1000</f>
        <v>2.03125</v>
      </c>
      <c r="M217" s="4" t="str">
        <f>M216</f>
        <v>€/kg</v>
      </c>
      <c r="O217" s="9"/>
      <c r="P217" s="10">
        <f t="shared" si="183"/>
        <v>46145</v>
      </c>
      <c r="Q217" s="3" t="s">
        <v>28</v>
      </c>
    </row>
    <row r="218" ht="22.5" customHeight="1">
      <c r="A218" s="3" t="s">
        <v>44</v>
      </c>
      <c r="B218" s="4" t="s">
        <v>174</v>
      </c>
      <c r="C218" s="4" t="s">
        <v>46</v>
      </c>
      <c r="D218" s="4" t="str">
        <f>D216</f>
        <v>Carrefour Classic</v>
      </c>
      <c r="E218" s="3" t="s">
        <v>22</v>
      </c>
      <c r="F218" s="3" t="s">
        <v>23</v>
      </c>
      <c r="G218" s="4" t="s">
        <v>128</v>
      </c>
      <c r="H218" s="3" t="s">
        <v>24</v>
      </c>
      <c r="I218" s="3" t="s">
        <v>169</v>
      </c>
      <c r="J218" s="6">
        <v>2.05</v>
      </c>
      <c r="K218" s="4" t="s">
        <v>34</v>
      </c>
      <c r="L218" s="9">
        <f>J218/300*1000</f>
        <v>6.833333333</v>
      </c>
      <c r="M218" s="4" t="s">
        <v>35</v>
      </c>
      <c r="O218" s="9"/>
      <c r="P218" s="10">
        <f>P216</f>
        <v>46145</v>
      </c>
      <c r="Q218" s="3" t="s">
        <v>28</v>
      </c>
    </row>
    <row r="219" ht="22.5" customHeight="1">
      <c r="A219" s="3" t="s">
        <v>47</v>
      </c>
      <c r="B219" s="4" t="s">
        <v>175</v>
      </c>
      <c r="C219" s="4" t="s">
        <v>49</v>
      </c>
      <c r="D219" s="4" t="str">
        <f>D216</f>
        <v>Carrefour Classic</v>
      </c>
      <c r="E219" s="3" t="s">
        <v>22</v>
      </c>
      <c r="F219" s="3" t="s">
        <v>23</v>
      </c>
      <c r="G219" s="5"/>
      <c r="H219" s="3" t="s">
        <v>24</v>
      </c>
      <c r="I219" s="3" t="s">
        <v>169</v>
      </c>
      <c r="J219" s="6">
        <v>1.65</v>
      </c>
      <c r="K219" s="4" t="s">
        <v>34</v>
      </c>
      <c r="L219" s="9">
        <f>J219/200*1000</f>
        <v>8.25</v>
      </c>
      <c r="M219" s="4" t="s">
        <v>35</v>
      </c>
      <c r="O219" s="9"/>
      <c r="P219" s="10">
        <f t="shared" ref="P219:P222" si="184">P218</f>
        <v>46145</v>
      </c>
      <c r="Q219" s="3" t="s">
        <v>28</v>
      </c>
    </row>
    <row r="220" ht="22.5" customHeight="1">
      <c r="A220" s="3" t="s">
        <v>50</v>
      </c>
      <c r="B220" s="4" t="s">
        <v>176</v>
      </c>
      <c r="C220" s="4" t="s">
        <v>52</v>
      </c>
      <c r="D220" s="4" t="s">
        <v>169</v>
      </c>
      <c r="E220" s="3" t="s">
        <v>22</v>
      </c>
      <c r="F220" s="3" t="s">
        <v>23</v>
      </c>
      <c r="G220" s="5"/>
      <c r="H220" s="3" t="s">
        <v>53</v>
      </c>
      <c r="I220" s="3" t="s">
        <v>169</v>
      </c>
      <c r="J220" s="6">
        <v>1.5</v>
      </c>
      <c r="K220" s="4" t="s">
        <v>34</v>
      </c>
      <c r="L220" s="9">
        <f t="shared" ref="L220:L221" si="185">J220*2</f>
        <v>3</v>
      </c>
      <c r="M220" s="4" t="s">
        <v>35</v>
      </c>
      <c r="O220" s="9"/>
      <c r="P220" s="10">
        <f t="shared" si="184"/>
        <v>46145</v>
      </c>
      <c r="Q220" s="3" t="s">
        <v>28</v>
      </c>
    </row>
    <row r="221" ht="22.5" customHeight="1">
      <c r="A221" s="3" t="s">
        <v>57</v>
      </c>
      <c r="B221" s="4" t="s">
        <v>177</v>
      </c>
      <c r="C221" s="4" t="s">
        <v>52</v>
      </c>
      <c r="D221" s="4" t="s">
        <v>178</v>
      </c>
      <c r="E221" s="3" t="s">
        <v>22</v>
      </c>
      <c r="F221" s="3" t="s">
        <v>23</v>
      </c>
      <c r="G221" s="5"/>
      <c r="H221" s="3" t="s">
        <v>53</v>
      </c>
      <c r="I221" s="3" t="s">
        <v>169</v>
      </c>
      <c r="J221" s="6">
        <v>1.99</v>
      </c>
      <c r="K221" s="4" t="s">
        <v>34</v>
      </c>
      <c r="L221" s="9">
        <f t="shared" si="185"/>
        <v>3.98</v>
      </c>
      <c r="M221" s="4" t="s">
        <v>35</v>
      </c>
      <c r="O221" s="9"/>
      <c r="P221" s="10">
        <f t="shared" si="184"/>
        <v>46145</v>
      </c>
      <c r="Q221" s="3" t="s">
        <v>28</v>
      </c>
    </row>
    <row r="222" ht="22.5" customHeight="1">
      <c r="A222" s="3" t="s">
        <v>59</v>
      </c>
      <c r="B222" s="4" t="s">
        <v>60</v>
      </c>
      <c r="C222" s="4" t="s">
        <v>20</v>
      </c>
      <c r="D222" s="4" t="s">
        <v>61</v>
      </c>
      <c r="E222" s="3" t="s">
        <v>43</v>
      </c>
      <c r="F222" s="3" t="s">
        <v>23</v>
      </c>
      <c r="G222" s="5"/>
      <c r="H222" s="3" t="s">
        <v>53</v>
      </c>
      <c r="I222" s="3" t="s">
        <v>169</v>
      </c>
      <c r="J222" s="6">
        <v>5.2</v>
      </c>
      <c r="K222" s="4" t="s">
        <v>26</v>
      </c>
      <c r="L222" s="9">
        <f t="shared" ref="L222:L223" si="186">J222</f>
        <v>5.2</v>
      </c>
      <c r="M222" s="4" t="s">
        <v>27</v>
      </c>
      <c r="O222" s="9"/>
      <c r="P222" s="10">
        <f t="shared" si="184"/>
        <v>46145</v>
      </c>
      <c r="Q222" s="3" t="s">
        <v>28</v>
      </c>
    </row>
    <row r="223" ht="22.5" customHeight="1">
      <c r="A223" s="3" t="s">
        <v>62</v>
      </c>
      <c r="B223" s="4" t="s">
        <v>179</v>
      </c>
      <c r="C223" s="4" t="s">
        <v>20</v>
      </c>
      <c r="D223" s="4" t="s">
        <v>169</v>
      </c>
      <c r="E223" s="3" t="s">
        <v>22</v>
      </c>
      <c r="F223" s="3" t="s">
        <v>23</v>
      </c>
      <c r="G223" s="5"/>
      <c r="H223" s="3" t="s">
        <v>53</v>
      </c>
      <c r="I223" s="3" t="s">
        <v>169</v>
      </c>
      <c r="J223" s="6">
        <v>1.85</v>
      </c>
      <c r="K223" s="4" t="s">
        <v>26</v>
      </c>
      <c r="L223" s="9">
        <f t="shared" si="186"/>
        <v>1.85</v>
      </c>
      <c r="M223" s="4" t="s">
        <v>27</v>
      </c>
      <c r="O223" s="9"/>
      <c r="P223" s="10">
        <f>P221</f>
        <v>46145</v>
      </c>
      <c r="Q223" s="3" t="s">
        <v>28</v>
      </c>
    </row>
    <row r="224" ht="22.5" customHeight="1">
      <c r="A224" s="3" t="s">
        <v>64</v>
      </c>
      <c r="B224" s="4" t="s">
        <v>65</v>
      </c>
      <c r="C224" s="4" t="s">
        <v>66</v>
      </c>
      <c r="D224" s="4" t="s">
        <v>173</v>
      </c>
      <c r="E224" s="3" t="s">
        <v>22</v>
      </c>
      <c r="F224" s="3" t="s">
        <v>23</v>
      </c>
      <c r="G224" s="5"/>
      <c r="H224" s="3" t="s">
        <v>53</v>
      </c>
      <c r="I224" s="3" t="s">
        <v>169</v>
      </c>
      <c r="J224" s="6">
        <v>2.47</v>
      </c>
      <c r="K224" s="4" t="s">
        <v>34</v>
      </c>
      <c r="L224" s="9">
        <f>J224/250*1000</f>
        <v>9.88</v>
      </c>
      <c r="M224" s="4" t="s">
        <v>35</v>
      </c>
      <c r="O224" s="9"/>
      <c r="P224" s="10">
        <f t="shared" ref="P224:P227" si="187">P223</f>
        <v>46145</v>
      </c>
      <c r="Q224" s="3" t="s">
        <v>28</v>
      </c>
    </row>
    <row r="225" ht="22.5" customHeight="1">
      <c r="A225" s="3" t="s">
        <v>67</v>
      </c>
      <c r="B225" s="4" t="s">
        <v>180</v>
      </c>
      <c r="C225" s="4" t="s">
        <v>69</v>
      </c>
      <c r="D225" s="4" t="s">
        <v>171</v>
      </c>
      <c r="E225" s="3" t="s">
        <v>22</v>
      </c>
      <c r="F225" s="3" t="s">
        <v>23</v>
      </c>
      <c r="G225" s="5"/>
      <c r="H225" s="3" t="s">
        <v>53</v>
      </c>
      <c r="I225" s="3" t="s">
        <v>169</v>
      </c>
      <c r="J225" s="6">
        <v>3.51</v>
      </c>
      <c r="K225" s="4" t="s">
        <v>10</v>
      </c>
      <c r="L225" s="9">
        <f>J225/16</f>
        <v>0.219375</v>
      </c>
      <c r="M225" s="4" t="s">
        <v>70</v>
      </c>
      <c r="O225" s="9"/>
      <c r="P225" s="10">
        <f t="shared" si="187"/>
        <v>46145</v>
      </c>
      <c r="Q225" s="3" t="s">
        <v>28</v>
      </c>
    </row>
    <row r="226" ht="22.5" customHeight="1">
      <c r="A226" s="3" t="s">
        <v>71</v>
      </c>
      <c r="B226" s="4" t="s">
        <v>181</v>
      </c>
      <c r="C226" s="4" t="s">
        <v>182</v>
      </c>
      <c r="D226" s="4" t="s">
        <v>183</v>
      </c>
      <c r="E226" s="3" t="s">
        <v>22</v>
      </c>
      <c r="F226" s="3" t="s">
        <v>23</v>
      </c>
      <c r="G226" s="5"/>
      <c r="H226" s="3" t="s">
        <v>75</v>
      </c>
      <c r="I226" s="3" t="s">
        <v>169</v>
      </c>
      <c r="J226" s="6">
        <v>4.35</v>
      </c>
      <c r="K226" s="4" t="s">
        <v>10</v>
      </c>
      <c r="L226" s="9">
        <f>J226/40</f>
        <v>0.10875</v>
      </c>
      <c r="M226" s="4" t="s">
        <v>70</v>
      </c>
      <c r="N226" s="4">
        <v>40.0</v>
      </c>
      <c r="O226" s="9">
        <f t="shared" ref="O226:O230" si="188">J226/N226</f>
        <v>0.10875</v>
      </c>
      <c r="P226" s="10">
        <f t="shared" si="187"/>
        <v>46145</v>
      </c>
      <c r="Q226" s="3" t="s">
        <v>28</v>
      </c>
    </row>
    <row r="227" ht="22.5" customHeight="1">
      <c r="A227" s="3" t="s">
        <v>76</v>
      </c>
      <c r="B227" s="4" t="s">
        <v>184</v>
      </c>
      <c r="C227" s="4" t="s">
        <v>73</v>
      </c>
      <c r="D227" s="4" t="s">
        <v>78</v>
      </c>
      <c r="E227" s="3" t="s">
        <v>43</v>
      </c>
      <c r="F227" s="3" t="s">
        <v>23</v>
      </c>
      <c r="G227" s="5"/>
      <c r="H227" s="3" t="s">
        <v>75</v>
      </c>
      <c r="I227" s="3" t="s">
        <v>169</v>
      </c>
      <c r="J227" s="6">
        <v>18.75</v>
      </c>
      <c r="K227" s="4" t="str">
        <f>K226</f>
        <v>unit</v>
      </c>
      <c r="L227" s="9">
        <f>J227/30</f>
        <v>0.625</v>
      </c>
      <c r="M227" s="4" t="str">
        <f>M226</f>
        <v>€/unit</v>
      </c>
      <c r="N227" s="4">
        <v>30.0</v>
      </c>
      <c r="O227" s="9">
        <f t="shared" si="188"/>
        <v>0.625</v>
      </c>
      <c r="P227" s="10">
        <f t="shared" si="187"/>
        <v>46145</v>
      </c>
      <c r="Q227" s="3" t="s">
        <v>28</v>
      </c>
    </row>
    <row r="228" ht="22.5" customHeight="1">
      <c r="A228" s="3" t="s">
        <v>79</v>
      </c>
      <c r="B228" s="4" t="s">
        <v>185</v>
      </c>
      <c r="C228" s="4" t="s">
        <v>186</v>
      </c>
      <c r="D228" s="4" t="str">
        <f t="shared" ref="D228:E228" si="189">D226</f>
        <v>Carrefour Expert</v>
      </c>
      <c r="E228" s="11" t="str">
        <f t="shared" si="189"/>
        <v>yes</v>
      </c>
      <c r="F228" s="3" t="s">
        <v>23</v>
      </c>
      <c r="G228" s="5"/>
      <c r="H228" s="11" t="str">
        <f t="shared" ref="H228:I228" si="190">H226</f>
        <v>cleaning</v>
      </c>
      <c r="I228" s="11" t="str">
        <f t="shared" si="190"/>
        <v>Carrefour</v>
      </c>
      <c r="J228" s="6">
        <v>4.25</v>
      </c>
      <c r="K228" s="4" t="s">
        <v>26</v>
      </c>
      <c r="L228" s="9">
        <f>J228/900*1000</f>
        <v>4.722222222</v>
      </c>
      <c r="M228" s="4" t="s">
        <v>27</v>
      </c>
      <c r="N228" s="4">
        <v>45.0</v>
      </c>
      <c r="O228" s="9">
        <f t="shared" si="188"/>
        <v>0.09444444444</v>
      </c>
      <c r="P228" s="10">
        <f>P226</f>
        <v>46145</v>
      </c>
      <c r="Q228" s="3" t="s">
        <v>28</v>
      </c>
    </row>
    <row r="229" ht="22.5" customHeight="1">
      <c r="A229" s="3" t="s">
        <v>82</v>
      </c>
      <c r="B229" s="4" t="s">
        <v>187</v>
      </c>
      <c r="C229" s="4" t="s">
        <v>188</v>
      </c>
      <c r="D229" s="4" t="str">
        <f>D228</f>
        <v>Carrefour Expert</v>
      </c>
      <c r="E229" s="3" t="s">
        <v>22</v>
      </c>
      <c r="F229" s="3" t="s">
        <v>23</v>
      </c>
      <c r="G229" s="5"/>
      <c r="H229" s="3" t="s">
        <v>75</v>
      </c>
      <c r="I229" s="3" t="s">
        <v>169</v>
      </c>
      <c r="J229" s="6">
        <v>4.15</v>
      </c>
      <c r="K229" s="4" t="s">
        <v>26</v>
      </c>
      <c r="L229" s="9">
        <f>J229/2.2</f>
        <v>1.886363636</v>
      </c>
      <c r="M229" s="4" t="s">
        <v>27</v>
      </c>
      <c r="N229" s="4">
        <v>44.0</v>
      </c>
      <c r="O229" s="9">
        <f t="shared" si="188"/>
        <v>0.09431818182</v>
      </c>
      <c r="P229" s="10">
        <f t="shared" ref="P229:P236" si="191">P228</f>
        <v>46145</v>
      </c>
      <c r="Q229" s="3" t="s">
        <v>28</v>
      </c>
    </row>
    <row r="230" ht="22.5" customHeight="1">
      <c r="A230" s="3" t="s">
        <v>85</v>
      </c>
      <c r="B230" s="4" t="s">
        <v>189</v>
      </c>
      <c r="C230" s="4" t="s">
        <v>73</v>
      </c>
      <c r="D230" s="4" t="s">
        <v>190</v>
      </c>
      <c r="E230" s="3" t="s">
        <v>22</v>
      </c>
      <c r="F230" s="3" t="s">
        <v>23</v>
      </c>
      <c r="G230" s="5"/>
      <c r="H230" s="3" t="s">
        <v>75</v>
      </c>
      <c r="I230" s="3" t="s">
        <v>169</v>
      </c>
      <c r="J230" s="6">
        <v>5.85</v>
      </c>
      <c r="K230" s="4" t="s">
        <v>10</v>
      </c>
      <c r="L230" s="9">
        <f>J230/30</f>
        <v>0.195</v>
      </c>
      <c r="M230" s="4" t="s">
        <v>70</v>
      </c>
      <c r="N230" s="4">
        <v>30.0</v>
      </c>
      <c r="O230" s="9">
        <f t="shared" si="188"/>
        <v>0.195</v>
      </c>
      <c r="P230" s="10">
        <f t="shared" si="191"/>
        <v>46145</v>
      </c>
      <c r="Q230" s="3" t="s">
        <v>28</v>
      </c>
    </row>
    <row r="231" ht="22.5" customHeight="1">
      <c r="A231" s="3" t="s">
        <v>92</v>
      </c>
      <c r="B231" s="4" t="s">
        <v>191</v>
      </c>
      <c r="C231" s="4" t="s">
        <v>90</v>
      </c>
      <c r="D231" s="4" t="s">
        <v>192</v>
      </c>
      <c r="E231" s="3" t="s">
        <v>22</v>
      </c>
      <c r="F231" s="3" t="s">
        <v>23</v>
      </c>
      <c r="G231" s="5"/>
      <c r="H231" s="3" t="s">
        <v>91</v>
      </c>
      <c r="I231" s="3" t="s">
        <v>169</v>
      </c>
      <c r="J231" s="6">
        <v>3.19</v>
      </c>
      <c r="K231" s="4" t="s">
        <v>10</v>
      </c>
      <c r="L231" s="9">
        <f t="shared" ref="L231:L232" si="192">J231/12</f>
        <v>0.2658333333</v>
      </c>
      <c r="M231" s="4" t="s">
        <v>70</v>
      </c>
      <c r="O231" s="9"/>
      <c r="P231" s="10">
        <f t="shared" si="191"/>
        <v>46145</v>
      </c>
      <c r="Q231" s="3" t="s">
        <v>28</v>
      </c>
    </row>
    <row r="232" ht="22.5" customHeight="1">
      <c r="A232" s="3" t="s">
        <v>94</v>
      </c>
      <c r="B232" s="4" t="s">
        <v>193</v>
      </c>
      <c r="C232" s="4" t="s">
        <v>90</v>
      </c>
      <c r="D232" s="12" t="str">
        <f t="shared" ref="D232:D233" si="193">D231</f>
        <v>Carrefour El Mercado</v>
      </c>
      <c r="E232" s="3" t="s">
        <v>22</v>
      </c>
      <c r="F232" s="3" t="s">
        <v>23</v>
      </c>
      <c r="G232" s="5"/>
      <c r="H232" s="3" t="s">
        <v>91</v>
      </c>
      <c r="I232" s="3" t="s">
        <v>169</v>
      </c>
      <c r="J232" s="6">
        <v>3.99</v>
      </c>
      <c r="K232" s="4" t="s">
        <v>10</v>
      </c>
      <c r="L232" s="9">
        <f t="shared" si="192"/>
        <v>0.3325</v>
      </c>
      <c r="M232" s="4" t="s">
        <v>70</v>
      </c>
      <c r="O232" s="9"/>
      <c r="P232" s="10">
        <f t="shared" si="191"/>
        <v>46145</v>
      </c>
      <c r="Q232" s="3" t="s">
        <v>28</v>
      </c>
    </row>
    <row r="233" ht="22.5" customHeight="1">
      <c r="A233" s="3" t="s">
        <v>96</v>
      </c>
      <c r="B233" s="4" t="s">
        <v>194</v>
      </c>
      <c r="C233" s="4" t="s">
        <v>98</v>
      </c>
      <c r="D233" s="12" t="str">
        <f t="shared" si="193"/>
        <v>Carrefour El Mercado</v>
      </c>
      <c r="E233" s="3" t="s">
        <v>22</v>
      </c>
      <c r="F233" s="3" t="s">
        <v>23</v>
      </c>
      <c r="G233" s="5"/>
      <c r="H233" s="3" t="s">
        <v>91</v>
      </c>
      <c r="I233" s="3" t="s">
        <v>169</v>
      </c>
      <c r="J233" s="6">
        <v>3.24</v>
      </c>
      <c r="K233" s="4" t="s">
        <v>34</v>
      </c>
      <c r="L233" s="9">
        <f>J233*2</f>
        <v>6.48</v>
      </c>
      <c r="M233" s="4" t="s">
        <v>35</v>
      </c>
      <c r="O233" s="9"/>
      <c r="P233" s="10">
        <f t="shared" si="191"/>
        <v>46145</v>
      </c>
      <c r="Q233" s="3" t="s">
        <v>28</v>
      </c>
    </row>
    <row r="234" ht="22.5" customHeight="1">
      <c r="A234" s="3" t="s">
        <v>99</v>
      </c>
      <c r="B234" s="4" t="s">
        <v>195</v>
      </c>
      <c r="C234" s="4" t="s">
        <v>33</v>
      </c>
      <c r="D234" s="4" t="s">
        <v>101</v>
      </c>
      <c r="E234" s="3" t="s">
        <v>43</v>
      </c>
      <c r="F234" s="3" t="s">
        <v>23</v>
      </c>
      <c r="G234" s="5"/>
      <c r="H234" s="3" t="s">
        <v>91</v>
      </c>
      <c r="I234" s="3" t="s">
        <v>169</v>
      </c>
      <c r="J234" s="6">
        <v>1.49</v>
      </c>
      <c r="K234" s="4" t="s">
        <v>34</v>
      </c>
      <c r="L234" s="9">
        <f>J234</f>
        <v>1.49</v>
      </c>
      <c r="M234" s="4" t="s">
        <v>35</v>
      </c>
      <c r="O234" s="9"/>
      <c r="P234" s="10">
        <f t="shared" si="191"/>
        <v>46145</v>
      </c>
      <c r="Q234" s="3" t="s">
        <v>28</v>
      </c>
    </row>
    <row r="235" ht="22.5" customHeight="1">
      <c r="A235" s="3" t="s">
        <v>102</v>
      </c>
      <c r="B235" s="4" t="s">
        <v>196</v>
      </c>
      <c r="C235" s="4" t="s">
        <v>159</v>
      </c>
      <c r="D235" s="4" t="s">
        <v>169</v>
      </c>
      <c r="E235" s="3" t="s">
        <v>22</v>
      </c>
      <c r="F235" s="3" t="s">
        <v>23</v>
      </c>
      <c r="G235" s="5"/>
      <c r="H235" s="3" t="s">
        <v>104</v>
      </c>
      <c r="I235" s="3" t="s">
        <v>169</v>
      </c>
      <c r="J235" s="6">
        <v>1.9</v>
      </c>
      <c r="K235" s="4" t="s">
        <v>34</v>
      </c>
      <c r="L235" s="9">
        <f>J235/300*1000</f>
        <v>6.333333333</v>
      </c>
      <c r="M235" s="4" t="s">
        <v>35</v>
      </c>
      <c r="O235" s="9"/>
      <c r="P235" s="10">
        <f t="shared" si="191"/>
        <v>46145</v>
      </c>
      <c r="Q235" s="3" t="s">
        <v>28</v>
      </c>
    </row>
    <row r="236" ht="22.5" customHeight="1">
      <c r="A236" s="3" t="s">
        <v>160</v>
      </c>
      <c r="B236" s="4" t="s">
        <v>197</v>
      </c>
      <c r="C236" s="4" t="s">
        <v>162</v>
      </c>
      <c r="D236" s="4" t="s">
        <v>163</v>
      </c>
      <c r="E236" s="3" t="s">
        <v>43</v>
      </c>
      <c r="F236" s="3" t="s">
        <v>23</v>
      </c>
      <c r="G236" s="5"/>
      <c r="H236" s="3" t="s">
        <v>104</v>
      </c>
      <c r="I236" s="3" t="s">
        <v>169</v>
      </c>
      <c r="J236" s="6">
        <v>2.49</v>
      </c>
      <c r="K236" s="4" t="str">
        <f>K235</f>
        <v>kg</v>
      </c>
      <c r="L236" s="9">
        <f>J236/248*1000</f>
        <v>10.04032258</v>
      </c>
      <c r="M236" s="4" t="str">
        <f>M235</f>
        <v>€/kg</v>
      </c>
      <c r="O236" s="9"/>
      <c r="P236" s="10">
        <f t="shared" si="191"/>
        <v>46145</v>
      </c>
      <c r="Q236" s="3" t="s">
        <v>28</v>
      </c>
    </row>
    <row r="237" ht="22.5" customHeight="1">
      <c r="A237" s="3" t="s">
        <v>105</v>
      </c>
      <c r="B237" s="4" t="s">
        <v>198</v>
      </c>
      <c r="C237" s="4" t="s">
        <v>107</v>
      </c>
      <c r="D237" s="4" t="s">
        <v>199</v>
      </c>
      <c r="E237" s="3" t="s">
        <v>22</v>
      </c>
      <c r="F237" s="3" t="s">
        <v>23</v>
      </c>
      <c r="G237" s="5"/>
      <c r="H237" s="3" t="s">
        <v>104</v>
      </c>
      <c r="I237" s="3" t="s">
        <v>169</v>
      </c>
      <c r="J237" s="6">
        <v>1.2</v>
      </c>
      <c r="K237" s="4" t="s">
        <v>34</v>
      </c>
      <c r="L237" s="9">
        <f>J237/150*1000</f>
        <v>8</v>
      </c>
      <c r="M237" s="4" t="s">
        <v>35</v>
      </c>
      <c r="O237" s="9"/>
      <c r="P237" s="10">
        <f>P235</f>
        <v>46145</v>
      </c>
      <c r="Q237" s="3" t="s">
        <v>28</v>
      </c>
    </row>
    <row r="238" ht="22.5" customHeight="1">
      <c r="A238" s="3" t="s">
        <v>108</v>
      </c>
      <c r="B238" s="4" t="s">
        <v>109</v>
      </c>
      <c r="C238" s="4" t="s">
        <v>110</v>
      </c>
      <c r="D238" s="12" t="str">
        <f>D237</f>
        <v>Carrefour Sensation</v>
      </c>
      <c r="E238" s="3" t="s">
        <v>22</v>
      </c>
      <c r="F238" s="3" t="s">
        <v>23</v>
      </c>
      <c r="G238" s="5"/>
      <c r="H238" s="3" t="s">
        <v>104</v>
      </c>
      <c r="I238" s="3" t="s">
        <v>169</v>
      </c>
      <c r="J238" s="6">
        <v>1.55</v>
      </c>
      <c r="K238" s="4" t="s">
        <v>34</v>
      </c>
      <c r="L238" s="9">
        <f>J238/800*1000</f>
        <v>1.9375</v>
      </c>
      <c r="M238" s="4" t="s">
        <v>35</v>
      </c>
      <c r="O238" s="9"/>
      <c r="P238" s="10">
        <f t="shared" ref="P238:P246" si="194">P237</f>
        <v>46145</v>
      </c>
      <c r="Q238" s="3" t="s">
        <v>28</v>
      </c>
    </row>
    <row r="239" ht="22.5" customHeight="1">
      <c r="A239" s="3" t="s">
        <v>111</v>
      </c>
      <c r="B239" s="4" t="s">
        <v>200</v>
      </c>
      <c r="C239" s="4" t="s">
        <v>113</v>
      </c>
      <c r="D239" s="4" t="s">
        <v>173</v>
      </c>
      <c r="E239" s="3" t="s">
        <v>22</v>
      </c>
      <c r="F239" s="3" t="s">
        <v>23</v>
      </c>
      <c r="G239" s="5"/>
      <c r="H239" s="3" t="s">
        <v>104</v>
      </c>
      <c r="I239" s="3" t="s">
        <v>169</v>
      </c>
      <c r="J239" s="6">
        <v>1.4</v>
      </c>
      <c r="K239" s="4" t="s">
        <v>34</v>
      </c>
      <c r="L239" s="9">
        <f>J239/225*1000</f>
        <v>6.222222222</v>
      </c>
      <c r="M239" s="4" t="s">
        <v>35</v>
      </c>
      <c r="O239" s="9"/>
      <c r="P239" s="10">
        <f t="shared" si="194"/>
        <v>46145</v>
      </c>
      <c r="Q239" s="3" t="s">
        <v>28</v>
      </c>
    </row>
    <row r="240" ht="22.5" customHeight="1">
      <c r="A240" s="3" t="s">
        <v>114</v>
      </c>
      <c r="B240" s="4" t="s">
        <v>201</v>
      </c>
      <c r="C240" s="4" t="s">
        <v>107</v>
      </c>
      <c r="D240" s="4" t="str">
        <f>D239</f>
        <v>Carrefour Classic</v>
      </c>
      <c r="E240" s="3" t="s">
        <v>22</v>
      </c>
      <c r="F240" s="3" t="s">
        <v>23</v>
      </c>
      <c r="G240" s="5"/>
      <c r="H240" s="3" t="s">
        <v>104</v>
      </c>
      <c r="I240" s="3" t="s">
        <v>169</v>
      </c>
      <c r="J240" s="6">
        <v>1.27</v>
      </c>
      <c r="K240" s="4" t="s">
        <v>34</v>
      </c>
      <c r="L240" s="9">
        <f>J240/150*1000</f>
        <v>8.466666667</v>
      </c>
      <c r="M240" s="4" t="s">
        <v>35</v>
      </c>
      <c r="O240" s="9"/>
      <c r="P240" s="10">
        <f t="shared" si="194"/>
        <v>46145</v>
      </c>
      <c r="Q240" s="3" t="s">
        <v>28</v>
      </c>
    </row>
    <row r="241" ht="22.5" customHeight="1">
      <c r="A241" s="3" t="s">
        <v>117</v>
      </c>
      <c r="B241" s="4" t="s">
        <v>202</v>
      </c>
      <c r="C241" s="4" t="s">
        <v>119</v>
      </c>
      <c r="D241" s="4" t="s">
        <v>203</v>
      </c>
      <c r="E241" s="3" t="s">
        <v>22</v>
      </c>
      <c r="F241" s="3" t="s">
        <v>23</v>
      </c>
      <c r="G241" s="5"/>
      <c r="H241" s="3" t="s">
        <v>104</v>
      </c>
      <c r="I241" s="3" t="s">
        <v>169</v>
      </c>
      <c r="J241" s="6">
        <v>1.91</v>
      </c>
      <c r="K241" s="4" t="s">
        <v>34</v>
      </c>
      <c r="L241" s="9">
        <f>J241/100*1000</f>
        <v>19.1</v>
      </c>
      <c r="M241" s="4" t="s">
        <v>35</v>
      </c>
      <c r="O241" s="9"/>
      <c r="P241" s="10">
        <f t="shared" si="194"/>
        <v>46145</v>
      </c>
      <c r="Q241" s="3" t="s">
        <v>28</v>
      </c>
    </row>
    <row r="242" ht="22.5" customHeight="1">
      <c r="A242" s="3" t="s">
        <v>18</v>
      </c>
      <c r="B242" s="4" t="s">
        <v>19</v>
      </c>
      <c r="C242" s="4" t="s">
        <v>20</v>
      </c>
      <c r="D242" s="4" t="s">
        <v>204</v>
      </c>
      <c r="E242" s="3" t="s">
        <v>22</v>
      </c>
      <c r="F242" s="3" t="s">
        <v>23</v>
      </c>
      <c r="G242" s="5"/>
      <c r="H242" s="3" t="s">
        <v>24</v>
      </c>
      <c r="I242" s="3" t="s">
        <v>205</v>
      </c>
      <c r="J242" s="6">
        <v>0.96</v>
      </c>
      <c r="K242" s="4" t="s">
        <v>26</v>
      </c>
      <c r="L242" s="9">
        <f t="shared" ref="L242:L244" si="195">J242</f>
        <v>0.96</v>
      </c>
      <c r="M242" s="4" t="s">
        <v>27</v>
      </c>
      <c r="O242" s="9"/>
      <c r="P242" s="10">
        <f t="shared" si="194"/>
        <v>46145</v>
      </c>
      <c r="Q242" s="3" t="s">
        <v>28</v>
      </c>
    </row>
    <row r="243" ht="22.5" customHeight="1">
      <c r="A243" s="3" t="s">
        <v>29</v>
      </c>
      <c r="B243" s="4" t="s">
        <v>30</v>
      </c>
      <c r="C243" s="4" t="s">
        <v>20</v>
      </c>
      <c r="D243" s="12" t="str">
        <f>D242</f>
        <v>Dia Láctea</v>
      </c>
      <c r="E243" s="3" t="s">
        <v>22</v>
      </c>
      <c r="F243" s="3" t="s">
        <v>23</v>
      </c>
      <c r="G243" s="5"/>
      <c r="H243" s="3" t="s">
        <v>24</v>
      </c>
      <c r="I243" s="3" t="s">
        <v>205</v>
      </c>
      <c r="J243" s="6">
        <v>0.84</v>
      </c>
      <c r="K243" s="4" t="s">
        <v>26</v>
      </c>
      <c r="L243" s="9">
        <f t="shared" si="195"/>
        <v>0.84</v>
      </c>
      <c r="M243" s="4" t="s">
        <v>27</v>
      </c>
      <c r="O243" s="9"/>
      <c r="P243" s="10">
        <f t="shared" si="194"/>
        <v>46145</v>
      </c>
      <c r="Q243" s="3" t="s">
        <v>28</v>
      </c>
    </row>
    <row r="244" ht="22.5" customHeight="1">
      <c r="A244" s="3" t="s">
        <v>31</v>
      </c>
      <c r="B244" s="4" t="s">
        <v>206</v>
      </c>
      <c r="C244" s="4" t="s">
        <v>33</v>
      </c>
      <c r="D244" s="4" t="s">
        <v>207</v>
      </c>
      <c r="E244" s="3" t="s">
        <v>22</v>
      </c>
      <c r="F244" s="3" t="s">
        <v>23</v>
      </c>
      <c r="G244" s="5"/>
      <c r="H244" s="3" t="s">
        <v>24</v>
      </c>
      <c r="I244" s="3" t="s">
        <v>205</v>
      </c>
      <c r="J244" s="6">
        <v>2.19</v>
      </c>
      <c r="K244" s="4" t="s">
        <v>34</v>
      </c>
      <c r="L244" s="9">
        <f t="shared" si="195"/>
        <v>2.19</v>
      </c>
      <c r="M244" s="4" t="s">
        <v>35</v>
      </c>
      <c r="O244" s="9"/>
      <c r="P244" s="10">
        <f t="shared" si="194"/>
        <v>46145</v>
      </c>
      <c r="Q244" s="3" t="s">
        <v>28</v>
      </c>
    </row>
    <row r="245" ht="22.5" customHeight="1">
      <c r="A245" s="3" t="s">
        <v>36</v>
      </c>
      <c r="B245" s="4" t="s">
        <v>37</v>
      </c>
      <c r="C245" s="4" t="s">
        <v>208</v>
      </c>
      <c r="D245" s="12" t="str">
        <f>D243</f>
        <v>Dia Láctea</v>
      </c>
      <c r="E245" s="3" t="s">
        <v>22</v>
      </c>
      <c r="F245" s="3" t="s">
        <v>23</v>
      </c>
      <c r="G245" s="5"/>
      <c r="H245" s="3" t="s">
        <v>24</v>
      </c>
      <c r="I245" s="3" t="s">
        <v>205</v>
      </c>
      <c r="J245" s="6">
        <v>1.33</v>
      </c>
      <c r="K245" s="4" t="s">
        <v>34</v>
      </c>
      <c r="L245" s="9">
        <f>J245/(8*125)*1000</f>
        <v>1.33</v>
      </c>
      <c r="M245" s="4" t="s">
        <v>35</v>
      </c>
      <c r="O245" s="9"/>
      <c r="P245" s="10">
        <f t="shared" si="194"/>
        <v>46145</v>
      </c>
      <c r="Q245" s="3" t="s">
        <v>28</v>
      </c>
    </row>
    <row r="246" ht="22.5" customHeight="1">
      <c r="A246" s="3" t="s">
        <v>39</v>
      </c>
      <c r="B246" s="4" t="s">
        <v>172</v>
      </c>
      <c r="C246" s="4" t="s">
        <v>209</v>
      </c>
      <c r="D246" s="4" t="s">
        <v>42</v>
      </c>
      <c r="E246" s="3" t="s">
        <v>43</v>
      </c>
      <c r="F246" s="3" t="s">
        <v>23</v>
      </c>
      <c r="G246" s="5"/>
      <c r="H246" s="3" t="s">
        <v>24</v>
      </c>
      <c r="I246" s="3" t="s">
        <v>205</v>
      </c>
      <c r="J246" s="6">
        <v>1.0</v>
      </c>
      <c r="K246" s="4" t="s">
        <v>34</v>
      </c>
      <c r="L246" s="9">
        <f>J246/(4*120)*1000</f>
        <v>2.083333333</v>
      </c>
      <c r="M246" s="4" t="str">
        <f>M245</f>
        <v>€/kg</v>
      </c>
      <c r="O246" s="9"/>
      <c r="P246" s="10">
        <f t="shared" si="194"/>
        <v>46145</v>
      </c>
      <c r="Q246" s="3" t="s">
        <v>28</v>
      </c>
    </row>
    <row r="247" ht="22.5" customHeight="1">
      <c r="A247" s="3" t="s">
        <v>44</v>
      </c>
      <c r="B247" s="4" t="s">
        <v>210</v>
      </c>
      <c r="C247" s="4" t="s">
        <v>211</v>
      </c>
      <c r="D247" s="4" t="s">
        <v>212</v>
      </c>
      <c r="E247" s="3" t="s">
        <v>22</v>
      </c>
      <c r="F247" s="3" t="s">
        <v>23</v>
      </c>
      <c r="G247" s="5"/>
      <c r="H247" s="3" t="s">
        <v>24</v>
      </c>
      <c r="I247" s="3" t="s">
        <v>205</v>
      </c>
      <c r="J247" s="6">
        <v>1.75</v>
      </c>
      <c r="K247" s="4" t="s">
        <v>34</v>
      </c>
      <c r="L247" s="9">
        <f>J247/240*1000</f>
        <v>7.291666667</v>
      </c>
      <c r="M247" s="4" t="s">
        <v>35</v>
      </c>
      <c r="O247" s="9"/>
      <c r="P247" s="10">
        <f>P245</f>
        <v>46145</v>
      </c>
      <c r="Q247" s="3" t="s">
        <v>28</v>
      </c>
    </row>
    <row r="248" ht="22.5" customHeight="1">
      <c r="A248" s="3" t="s">
        <v>47</v>
      </c>
      <c r="B248" s="4" t="s">
        <v>213</v>
      </c>
      <c r="C248" s="4" t="s">
        <v>49</v>
      </c>
      <c r="D248" s="12" t="str">
        <f>D245</f>
        <v>Dia Láctea</v>
      </c>
      <c r="E248" s="3" t="s">
        <v>22</v>
      </c>
      <c r="F248" s="3" t="s">
        <v>23</v>
      </c>
      <c r="G248" s="5"/>
      <c r="H248" s="3" t="s">
        <v>24</v>
      </c>
      <c r="I248" s="3" t="s">
        <v>205</v>
      </c>
      <c r="J248" s="6">
        <v>1.65</v>
      </c>
      <c r="K248" s="4" t="s">
        <v>34</v>
      </c>
      <c r="L248" s="9">
        <f>J248/200*1000</f>
        <v>8.25</v>
      </c>
      <c r="M248" s="4" t="s">
        <v>35</v>
      </c>
      <c r="O248" s="9"/>
      <c r="P248" s="10">
        <f t="shared" ref="P248:P250" si="196">P247</f>
        <v>46145</v>
      </c>
      <c r="Q248" s="3" t="s">
        <v>28</v>
      </c>
    </row>
    <row r="249" ht="22.5" customHeight="1">
      <c r="A249" s="3" t="s">
        <v>50</v>
      </c>
      <c r="B249" s="4" t="s">
        <v>214</v>
      </c>
      <c r="C249" s="4" t="s">
        <v>52</v>
      </c>
      <c r="D249" s="4" t="s">
        <v>215</v>
      </c>
      <c r="E249" s="3" t="s">
        <v>22</v>
      </c>
      <c r="F249" s="3" t="s">
        <v>23</v>
      </c>
      <c r="G249" s="5"/>
      <c r="H249" s="3" t="s">
        <v>53</v>
      </c>
      <c r="I249" s="3" t="s">
        <v>205</v>
      </c>
      <c r="J249" s="6">
        <v>1.49</v>
      </c>
      <c r="K249" s="4" t="s">
        <v>34</v>
      </c>
      <c r="L249" s="9">
        <f t="shared" ref="L249:L251" si="197">J249*2</f>
        <v>2.98</v>
      </c>
      <c r="M249" s="4" t="s">
        <v>35</v>
      </c>
      <c r="O249" s="9"/>
      <c r="P249" s="10">
        <f t="shared" si="196"/>
        <v>46145</v>
      </c>
      <c r="Q249" s="3" t="s">
        <v>28</v>
      </c>
    </row>
    <row r="250" ht="22.5" customHeight="1">
      <c r="A250" s="3" t="s">
        <v>54</v>
      </c>
      <c r="B250" s="4" t="s">
        <v>214</v>
      </c>
      <c r="C250" s="4" t="s">
        <v>52</v>
      </c>
      <c r="D250" s="4" t="s">
        <v>56</v>
      </c>
      <c r="E250" s="3" t="s">
        <v>43</v>
      </c>
      <c r="F250" s="3" t="s">
        <v>23</v>
      </c>
      <c r="G250" s="5"/>
      <c r="H250" s="3" t="s">
        <v>53</v>
      </c>
      <c r="I250" s="3" t="s">
        <v>205</v>
      </c>
      <c r="J250" s="6">
        <v>3.0</v>
      </c>
      <c r="K250" s="4" t="str">
        <f>K249</f>
        <v>kg</v>
      </c>
      <c r="L250" s="9">
        <f t="shared" si="197"/>
        <v>6</v>
      </c>
      <c r="M250" s="4" t="str">
        <f>M249</f>
        <v>€/kg</v>
      </c>
      <c r="O250" s="9"/>
      <c r="P250" s="10">
        <f t="shared" si="196"/>
        <v>46145</v>
      </c>
      <c r="Q250" s="3" t="s">
        <v>28</v>
      </c>
    </row>
    <row r="251" ht="22.5" customHeight="1">
      <c r="A251" s="3" t="s">
        <v>57</v>
      </c>
      <c r="B251" s="4" t="s">
        <v>216</v>
      </c>
      <c r="C251" s="4" t="s">
        <v>52</v>
      </c>
      <c r="D251" s="12" t="str">
        <f>D249</f>
        <v>Gran Dia</v>
      </c>
      <c r="E251" s="3" t="s">
        <v>22</v>
      </c>
      <c r="F251" s="3" t="s">
        <v>23</v>
      </c>
      <c r="G251" s="5"/>
      <c r="H251" s="3" t="s">
        <v>53</v>
      </c>
      <c r="I251" s="3" t="s">
        <v>205</v>
      </c>
      <c r="J251" s="6">
        <v>2.0</v>
      </c>
      <c r="K251" s="4" t="s">
        <v>34</v>
      </c>
      <c r="L251" s="9">
        <f t="shared" si="197"/>
        <v>4</v>
      </c>
      <c r="M251" s="4" t="s">
        <v>35</v>
      </c>
      <c r="O251" s="9"/>
      <c r="P251" s="10">
        <f>P249</f>
        <v>46145</v>
      </c>
      <c r="Q251" s="3" t="s">
        <v>28</v>
      </c>
    </row>
    <row r="252" ht="22.5" customHeight="1">
      <c r="A252" s="3" t="s">
        <v>59</v>
      </c>
      <c r="B252" s="4" t="s">
        <v>60</v>
      </c>
      <c r="C252" s="4" t="s">
        <v>20</v>
      </c>
      <c r="D252" s="4" t="s">
        <v>61</v>
      </c>
      <c r="E252" s="3" t="s">
        <v>43</v>
      </c>
      <c r="F252" s="3" t="s">
        <v>23</v>
      </c>
      <c r="G252" s="5"/>
      <c r="H252" s="3" t="s">
        <v>53</v>
      </c>
      <c r="I252" s="3" t="s">
        <v>205</v>
      </c>
      <c r="J252" s="6">
        <v>4.95</v>
      </c>
      <c r="K252" s="4" t="s">
        <v>26</v>
      </c>
      <c r="L252" s="9">
        <f t="shared" ref="L252:L253" si="198">J252</f>
        <v>4.95</v>
      </c>
      <c r="M252" s="4" t="s">
        <v>27</v>
      </c>
      <c r="O252" s="9"/>
      <c r="P252" s="10">
        <f t="shared" ref="P252:P257" si="199">P251</f>
        <v>46145</v>
      </c>
      <c r="Q252" s="3" t="s">
        <v>28</v>
      </c>
    </row>
    <row r="253" ht="22.5" customHeight="1">
      <c r="A253" s="3" t="s">
        <v>62</v>
      </c>
      <c r="B253" s="4" t="s">
        <v>217</v>
      </c>
      <c r="C253" s="4" t="s">
        <v>20</v>
      </c>
      <c r="D253" s="4" t="s">
        <v>218</v>
      </c>
      <c r="E253" s="3" t="s">
        <v>22</v>
      </c>
      <c r="F253" s="3" t="s">
        <v>23</v>
      </c>
      <c r="G253" s="5"/>
      <c r="H253" s="3" t="s">
        <v>53</v>
      </c>
      <c r="I253" s="3" t="s">
        <v>205</v>
      </c>
      <c r="J253" s="6">
        <v>1.85</v>
      </c>
      <c r="K253" s="4" t="s">
        <v>26</v>
      </c>
      <c r="L253" s="9">
        <f t="shared" si="198"/>
        <v>1.85</v>
      </c>
      <c r="M253" s="4" t="s">
        <v>27</v>
      </c>
      <c r="O253" s="9"/>
      <c r="P253" s="10">
        <f t="shared" si="199"/>
        <v>46145</v>
      </c>
      <c r="Q253" s="3" t="s">
        <v>28</v>
      </c>
    </row>
    <row r="254" ht="22.5" customHeight="1">
      <c r="A254" s="3" t="s">
        <v>64</v>
      </c>
      <c r="B254" s="4" t="s">
        <v>65</v>
      </c>
      <c r="C254" s="4" t="s">
        <v>219</v>
      </c>
      <c r="D254" s="4" t="s">
        <v>220</v>
      </c>
      <c r="E254" s="3" t="s">
        <v>22</v>
      </c>
      <c r="F254" s="3" t="s">
        <v>23</v>
      </c>
      <c r="G254" s="5"/>
      <c r="H254" s="3" t="s">
        <v>53</v>
      </c>
      <c r="I254" s="3" t="s">
        <v>205</v>
      </c>
      <c r="J254" s="6">
        <v>4.9</v>
      </c>
      <c r="K254" s="4" t="s">
        <v>34</v>
      </c>
      <c r="L254" s="9">
        <f>J254/(2*250)*1000</f>
        <v>9.8</v>
      </c>
      <c r="M254" s="4" t="s">
        <v>35</v>
      </c>
      <c r="O254" s="9"/>
      <c r="P254" s="10">
        <f t="shared" si="199"/>
        <v>46145</v>
      </c>
      <c r="Q254" s="3" t="s">
        <v>28</v>
      </c>
    </row>
    <row r="255" ht="22.5" customHeight="1">
      <c r="A255" s="3" t="s">
        <v>67</v>
      </c>
      <c r="B255" s="4" t="s">
        <v>221</v>
      </c>
      <c r="C255" s="4" t="s">
        <v>69</v>
      </c>
      <c r="D255" s="12" t="str">
        <f>D254</f>
        <v>Dia Cafetería</v>
      </c>
      <c r="E255" s="3" t="s">
        <v>22</v>
      </c>
      <c r="F255" s="3" t="s">
        <v>23</v>
      </c>
      <c r="G255" s="5"/>
      <c r="H255" s="3" t="s">
        <v>53</v>
      </c>
      <c r="I255" s="3" t="s">
        <v>205</v>
      </c>
      <c r="J255" s="6">
        <v>3.55</v>
      </c>
      <c r="K255" s="4" t="s">
        <v>10</v>
      </c>
      <c r="L255" s="9">
        <f>J255/16</f>
        <v>0.221875</v>
      </c>
      <c r="M255" s="4" t="s">
        <v>70</v>
      </c>
      <c r="O255" s="9"/>
      <c r="P255" s="10">
        <f t="shared" si="199"/>
        <v>46145</v>
      </c>
      <c r="Q255" s="3" t="s">
        <v>28</v>
      </c>
    </row>
    <row r="256" ht="22.5" customHeight="1">
      <c r="A256" s="3" t="s">
        <v>71</v>
      </c>
      <c r="B256" s="4" t="s">
        <v>222</v>
      </c>
      <c r="C256" s="4" t="s">
        <v>182</v>
      </c>
      <c r="D256" s="4" t="s">
        <v>223</v>
      </c>
      <c r="E256" s="3" t="s">
        <v>22</v>
      </c>
      <c r="F256" s="3" t="s">
        <v>23</v>
      </c>
      <c r="G256" s="5"/>
      <c r="H256" s="3" t="s">
        <v>75</v>
      </c>
      <c r="I256" s="3" t="s">
        <v>205</v>
      </c>
      <c r="J256" s="6">
        <v>3.45</v>
      </c>
      <c r="K256" s="4" t="s">
        <v>10</v>
      </c>
      <c r="L256" s="9">
        <f>J256/40</f>
        <v>0.08625</v>
      </c>
      <c r="M256" s="4" t="s">
        <v>70</v>
      </c>
      <c r="N256" s="4">
        <v>40.0</v>
      </c>
      <c r="O256" s="9">
        <f t="shared" ref="O256:O260" si="200">J256/N256</f>
        <v>0.08625</v>
      </c>
      <c r="P256" s="10">
        <f t="shared" si="199"/>
        <v>46145</v>
      </c>
      <c r="Q256" s="3" t="s">
        <v>28</v>
      </c>
    </row>
    <row r="257" ht="22.5" customHeight="1">
      <c r="A257" s="3" t="s">
        <v>76</v>
      </c>
      <c r="B257" s="4" t="s">
        <v>224</v>
      </c>
      <c r="C257" s="4" t="s">
        <v>73</v>
      </c>
      <c r="D257" s="4" t="s">
        <v>78</v>
      </c>
      <c r="E257" s="3" t="s">
        <v>43</v>
      </c>
      <c r="F257" s="3" t="s">
        <v>23</v>
      </c>
      <c r="G257" s="5"/>
      <c r="H257" s="3" t="s">
        <v>75</v>
      </c>
      <c r="I257" s="3" t="s">
        <v>205</v>
      </c>
      <c r="J257" s="6">
        <v>9.99</v>
      </c>
      <c r="K257" s="4" t="str">
        <f>K256</f>
        <v>unit</v>
      </c>
      <c r="L257" s="9">
        <f>J257/30</f>
        <v>0.333</v>
      </c>
      <c r="M257" s="4" t="str">
        <f>M256</f>
        <v>€/unit</v>
      </c>
      <c r="N257" s="4">
        <v>30.0</v>
      </c>
      <c r="O257" s="9">
        <f t="shared" si="200"/>
        <v>0.333</v>
      </c>
      <c r="P257" s="10">
        <f t="shared" si="199"/>
        <v>46145</v>
      </c>
      <c r="Q257" s="3" t="s">
        <v>28</v>
      </c>
    </row>
    <row r="258" ht="22.5" customHeight="1">
      <c r="A258" s="3" t="s">
        <v>79</v>
      </c>
      <c r="B258" s="4" t="s">
        <v>225</v>
      </c>
      <c r="C258" s="4" t="s">
        <v>226</v>
      </c>
      <c r="D258" s="4" t="str">
        <f t="shared" ref="D258:E258" si="201">D256</f>
        <v>Dia Super Paco</v>
      </c>
      <c r="E258" s="11" t="str">
        <f t="shared" si="201"/>
        <v>yes</v>
      </c>
      <c r="F258" s="3" t="s">
        <v>23</v>
      </c>
      <c r="G258" s="5"/>
      <c r="H258" s="11" t="str">
        <f t="shared" ref="H258:I258" si="202">H256</f>
        <v>cleaning</v>
      </c>
      <c r="I258" s="11" t="str">
        <f t="shared" si="202"/>
        <v>Dia</v>
      </c>
      <c r="J258" s="6">
        <v>4.09</v>
      </c>
      <c r="K258" s="4" t="s">
        <v>26</v>
      </c>
      <c r="L258" s="9">
        <f>J258/648*1000</f>
        <v>6.311728395</v>
      </c>
      <c r="M258" s="4" t="s">
        <v>27</v>
      </c>
      <c r="N258" s="4">
        <v>36.0</v>
      </c>
      <c r="O258" s="9">
        <f t="shared" si="200"/>
        <v>0.1136111111</v>
      </c>
      <c r="P258" s="10">
        <f>P256</f>
        <v>46145</v>
      </c>
      <c r="Q258" s="3" t="s">
        <v>28</v>
      </c>
    </row>
    <row r="259" ht="22.5" customHeight="1">
      <c r="A259" s="3" t="s">
        <v>82</v>
      </c>
      <c r="B259" s="4" t="s">
        <v>227</v>
      </c>
      <c r="C259" s="4" t="s">
        <v>228</v>
      </c>
      <c r="D259" s="12" t="str">
        <f>D256</f>
        <v>Dia Super Paco</v>
      </c>
      <c r="E259" s="3" t="s">
        <v>22</v>
      </c>
      <c r="F259" s="3" t="s">
        <v>23</v>
      </c>
      <c r="G259" s="5"/>
      <c r="H259" s="3" t="s">
        <v>75</v>
      </c>
      <c r="I259" s="3" t="s">
        <v>205</v>
      </c>
      <c r="J259" s="6">
        <v>4.29</v>
      </c>
      <c r="K259" s="4" t="s">
        <v>26</v>
      </c>
      <c r="L259" s="9">
        <f>J259/2.99</f>
        <v>1.434782609</v>
      </c>
      <c r="M259" s="4" t="s">
        <v>27</v>
      </c>
      <c r="N259" s="4">
        <v>46.0</v>
      </c>
      <c r="O259" s="9">
        <f t="shared" si="200"/>
        <v>0.09326086957</v>
      </c>
      <c r="P259" s="10">
        <f t="shared" ref="P259:P267" si="203">P258</f>
        <v>46145</v>
      </c>
      <c r="Q259" s="3" t="s">
        <v>28</v>
      </c>
    </row>
    <row r="260" ht="22.5" customHeight="1">
      <c r="A260" s="3" t="s">
        <v>85</v>
      </c>
      <c r="B260" s="4" t="s">
        <v>229</v>
      </c>
      <c r="C260" s="4" t="s">
        <v>230</v>
      </c>
      <c r="D260" s="12" t="str">
        <f>D259</f>
        <v>Dia Super Paco</v>
      </c>
      <c r="E260" s="3" t="s">
        <v>22</v>
      </c>
      <c r="F260" s="3" t="s">
        <v>23</v>
      </c>
      <c r="G260" s="5"/>
      <c r="H260" s="3" t="s">
        <v>75</v>
      </c>
      <c r="I260" s="3" t="s">
        <v>205</v>
      </c>
      <c r="J260" s="6">
        <v>3.69</v>
      </c>
      <c r="K260" s="4" t="s">
        <v>10</v>
      </c>
      <c r="L260" s="9">
        <f>J260/20</f>
        <v>0.1845</v>
      </c>
      <c r="M260" s="4" t="s">
        <v>70</v>
      </c>
      <c r="N260" s="4">
        <v>20.0</v>
      </c>
      <c r="O260" s="9">
        <f t="shared" si="200"/>
        <v>0.1845</v>
      </c>
      <c r="P260" s="10">
        <f t="shared" si="203"/>
        <v>46145</v>
      </c>
      <c r="Q260" s="3" t="s">
        <v>28</v>
      </c>
    </row>
    <row r="261" ht="22.5" customHeight="1">
      <c r="A261" s="3" t="s">
        <v>88</v>
      </c>
      <c r="B261" s="4" t="s">
        <v>231</v>
      </c>
      <c r="C261" s="4" t="s">
        <v>90</v>
      </c>
      <c r="D261" s="4" t="s">
        <v>205</v>
      </c>
      <c r="E261" s="3" t="s">
        <v>22</v>
      </c>
      <c r="F261" s="3" t="s">
        <v>23</v>
      </c>
      <c r="G261" s="5"/>
      <c r="H261" s="3" t="s">
        <v>91</v>
      </c>
      <c r="I261" s="3" t="s">
        <v>205</v>
      </c>
      <c r="J261" s="6">
        <v>3.0</v>
      </c>
      <c r="K261" s="4" t="s">
        <v>10</v>
      </c>
      <c r="L261" s="9">
        <f t="shared" ref="L261:L262" si="205">J261/12</f>
        <v>0.25</v>
      </c>
      <c r="M261" s="4" t="s">
        <v>70</v>
      </c>
      <c r="O261" s="9"/>
      <c r="P261" s="10">
        <f t="shared" si="203"/>
        <v>46145</v>
      </c>
      <c r="Q261" s="3" t="s">
        <v>28</v>
      </c>
    </row>
    <row r="262" ht="22.5" customHeight="1">
      <c r="A262" s="3" t="s">
        <v>92</v>
      </c>
      <c r="B262" s="4" t="s">
        <v>232</v>
      </c>
      <c r="C262" s="4" t="s">
        <v>90</v>
      </c>
      <c r="D262" s="4" t="s">
        <v>205</v>
      </c>
      <c r="E262" s="3" t="s">
        <v>22</v>
      </c>
      <c r="F262" s="3" t="s">
        <v>23</v>
      </c>
      <c r="G262" s="5"/>
      <c r="H262" s="11" t="str">
        <f t="shared" ref="H262:I262" si="204">H261</f>
        <v>fresh produce</v>
      </c>
      <c r="I262" s="11" t="str">
        <f t="shared" si="204"/>
        <v>Dia</v>
      </c>
      <c r="J262" s="6">
        <v>3.2</v>
      </c>
      <c r="K262" s="4" t="s">
        <v>10</v>
      </c>
      <c r="L262" s="9">
        <f t="shared" si="205"/>
        <v>0.2666666667</v>
      </c>
      <c r="M262" s="4" t="s">
        <v>70</v>
      </c>
      <c r="O262" s="9"/>
      <c r="P262" s="10">
        <f t="shared" si="203"/>
        <v>46145</v>
      </c>
      <c r="Q262" s="3" t="s">
        <v>28</v>
      </c>
    </row>
    <row r="263" ht="22.5" customHeight="1">
      <c r="A263" s="3" t="s">
        <v>94</v>
      </c>
      <c r="B263" s="4" t="s">
        <v>233</v>
      </c>
      <c r="C263" s="4" t="s">
        <v>154</v>
      </c>
      <c r="D263" s="4" t="s">
        <v>205</v>
      </c>
      <c r="E263" s="3" t="s">
        <v>22</v>
      </c>
      <c r="F263" s="3" t="s">
        <v>23</v>
      </c>
      <c r="G263" s="4" t="s">
        <v>155</v>
      </c>
      <c r="H263" s="3" t="s">
        <v>91</v>
      </c>
      <c r="I263" s="3" t="s">
        <v>205</v>
      </c>
      <c r="J263" s="6">
        <v>3.19</v>
      </c>
      <c r="K263" s="4" t="s">
        <v>10</v>
      </c>
      <c r="L263" s="9">
        <f>J263/10</f>
        <v>0.319</v>
      </c>
      <c r="M263" s="4" t="s">
        <v>70</v>
      </c>
      <c r="O263" s="9"/>
      <c r="P263" s="10">
        <f t="shared" si="203"/>
        <v>46145</v>
      </c>
      <c r="Q263" s="3" t="s">
        <v>28</v>
      </c>
    </row>
    <row r="264" ht="22.5" customHeight="1">
      <c r="A264" s="3" t="s">
        <v>96</v>
      </c>
      <c r="B264" s="4" t="s">
        <v>97</v>
      </c>
      <c r="C264" s="4" t="s">
        <v>234</v>
      </c>
      <c r="D264" s="4" t="s">
        <v>235</v>
      </c>
      <c r="E264" s="3" t="s">
        <v>22</v>
      </c>
      <c r="F264" s="3" t="s">
        <v>23</v>
      </c>
      <c r="G264" s="5"/>
      <c r="H264" s="3" t="s">
        <v>91</v>
      </c>
      <c r="I264" s="3" t="s">
        <v>205</v>
      </c>
      <c r="J264" s="6">
        <v>4.89</v>
      </c>
      <c r="K264" s="4" t="s">
        <v>34</v>
      </c>
      <c r="L264" s="9">
        <f>J264/700*1000</f>
        <v>6.985714286</v>
      </c>
      <c r="M264" s="4" t="s">
        <v>35</v>
      </c>
      <c r="O264" s="9"/>
      <c r="P264" s="10">
        <f t="shared" si="203"/>
        <v>46145</v>
      </c>
      <c r="Q264" s="3" t="s">
        <v>28</v>
      </c>
    </row>
    <row r="265" ht="22.5" customHeight="1">
      <c r="A265" s="3" t="s">
        <v>99</v>
      </c>
      <c r="B265" s="4" t="s">
        <v>236</v>
      </c>
      <c r="C265" s="4" t="s">
        <v>33</v>
      </c>
      <c r="D265" s="4" t="s">
        <v>101</v>
      </c>
      <c r="E265" s="3" t="s">
        <v>43</v>
      </c>
      <c r="F265" s="3" t="s">
        <v>23</v>
      </c>
      <c r="G265" s="5"/>
      <c r="H265" s="3" t="s">
        <v>91</v>
      </c>
      <c r="I265" s="3" t="s">
        <v>205</v>
      </c>
      <c r="J265" s="6">
        <v>1.59</v>
      </c>
      <c r="K265" s="4" t="s">
        <v>34</v>
      </c>
      <c r="L265" s="9">
        <f>J265</f>
        <v>1.59</v>
      </c>
      <c r="M265" s="4" t="s">
        <v>35</v>
      </c>
      <c r="O265" s="9"/>
      <c r="P265" s="10">
        <f t="shared" si="203"/>
        <v>46145</v>
      </c>
      <c r="Q265" s="3" t="s">
        <v>28</v>
      </c>
    </row>
    <row r="266" ht="22.5" customHeight="1">
      <c r="A266" s="3" t="s">
        <v>102</v>
      </c>
      <c r="B266" s="4" t="s">
        <v>237</v>
      </c>
      <c r="C266" s="4" t="s">
        <v>159</v>
      </c>
      <c r="D266" s="4" t="s">
        <v>238</v>
      </c>
      <c r="E266" s="3" t="s">
        <v>22</v>
      </c>
      <c r="F266" s="3" t="s">
        <v>23</v>
      </c>
      <c r="G266" s="5"/>
      <c r="H266" s="3" t="s">
        <v>104</v>
      </c>
      <c r="I266" s="3" t="s">
        <v>205</v>
      </c>
      <c r="J266" s="6">
        <v>1.9</v>
      </c>
      <c r="K266" s="4" t="s">
        <v>34</v>
      </c>
      <c r="L266" s="9">
        <f>J266/(2*150)*1000</f>
        <v>6.333333333</v>
      </c>
      <c r="M266" s="4" t="s">
        <v>35</v>
      </c>
      <c r="O266" s="9"/>
      <c r="P266" s="10">
        <f t="shared" si="203"/>
        <v>46145</v>
      </c>
      <c r="Q266" s="3" t="s">
        <v>28</v>
      </c>
    </row>
    <row r="267" ht="22.5" customHeight="1">
      <c r="A267" s="3" t="s">
        <v>160</v>
      </c>
      <c r="B267" s="4" t="s">
        <v>239</v>
      </c>
      <c r="C267" s="4" t="s">
        <v>162</v>
      </c>
      <c r="D267" s="4" t="s">
        <v>163</v>
      </c>
      <c r="E267" s="3" t="s">
        <v>43</v>
      </c>
      <c r="F267" s="3" t="s">
        <v>23</v>
      </c>
      <c r="G267" s="5"/>
      <c r="H267" s="3" t="s">
        <v>104</v>
      </c>
      <c r="I267" s="3" t="s">
        <v>205</v>
      </c>
      <c r="J267" s="6">
        <v>2.45</v>
      </c>
      <c r="K267" s="4" t="str">
        <f>K266</f>
        <v>kg</v>
      </c>
      <c r="L267" s="9">
        <f>J267/248*1000</f>
        <v>9.879032258</v>
      </c>
      <c r="M267" s="4" t="str">
        <f>M266</f>
        <v>€/kg</v>
      </c>
      <c r="O267" s="9"/>
      <c r="P267" s="10">
        <f t="shared" si="203"/>
        <v>46145</v>
      </c>
      <c r="Q267" s="3" t="s">
        <v>28</v>
      </c>
    </row>
    <row r="268" ht="22.5" customHeight="1">
      <c r="A268" s="3" t="s">
        <v>105</v>
      </c>
      <c r="B268" s="4" t="s">
        <v>240</v>
      </c>
      <c r="C268" s="4" t="s">
        <v>241</v>
      </c>
      <c r="D268" s="12" t="str">
        <f>D266</f>
        <v>Dia Snack Maniac</v>
      </c>
      <c r="E268" s="3" t="s">
        <v>22</v>
      </c>
      <c r="F268" s="3" t="s">
        <v>23</v>
      </c>
      <c r="G268" s="5"/>
      <c r="H268" s="3" t="s">
        <v>104</v>
      </c>
      <c r="I268" s="3" t="s">
        <v>205</v>
      </c>
      <c r="J268" s="6">
        <v>1.36</v>
      </c>
      <c r="K268" s="4" t="s">
        <v>34</v>
      </c>
      <c r="L268" s="9">
        <f>J268/170*1000</f>
        <v>8</v>
      </c>
      <c r="M268" s="4" t="s">
        <v>35</v>
      </c>
      <c r="O268" s="9"/>
      <c r="P268" s="10">
        <f>P266</f>
        <v>46145</v>
      </c>
      <c r="Q268" s="3" t="s">
        <v>28</v>
      </c>
    </row>
    <row r="269" ht="22.5" customHeight="1">
      <c r="A269" s="3" t="s">
        <v>108</v>
      </c>
      <c r="B269" s="4" t="s">
        <v>242</v>
      </c>
      <c r="C269" s="4" t="s">
        <v>243</v>
      </c>
      <c r="D269" s="4" t="s">
        <v>244</v>
      </c>
      <c r="E269" s="3" t="s">
        <v>22</v>
      </c>
      <c r="F269" s="3" t="s">
        <v>23</v>
      </c>
      <c r="G269" s="5"/>
      <c r="H269" s="3" t="s">
        <v>104</v>
      </c>
      <c r="I269" s="3" t="s">
        <v>205</v>
      </c>
      <c r="J269" s="6">
        <v>0.81</v>
      </c>
      <c r="K269" s="4" t="s">
        <v>34</v>
      </c>
      <c r="L269" s="9">
        <f>J269/400*1000</f>
        <v>2.025</v>
      </c>
      <c r="M269" s="4" t="s">
        <v>35</v>
      </c>
      <c r="O269" s="9"/>
      <c r="P269" s="10">
        <f t="shared" ref="P269:P277" si="206">P268</f>
        <v>46145</v>
      </c>
      <c r="Q269" s="3" t="s">
        <v>28</v>
      </c>
    </row>
    <row r="270" ht="22.5" customHeight="1">
      <c r="A270" s="3" t="s">
        <v>111</v>
      </c>
      <c r="B270" s="4" t="s">
        <v>245</v>
      </c>
      <c r="C270" s="4" t="s">
        <v>113</v>
      </c>
      <c r="D270" s="12" t="str">
        <f>D269</f>
        <v>Galleteca de Dia</v>
      </c>
      <c r="E270" s="3" t="s">
        <v>22</v>
      </c>
      <c r="F270" s="3" t="s">
        <v>23</v>
      </c>
      <c r="G270" s="5"/>
      <c r="H270" s="3" t="s">
        <v>104</v>
      </c>
      <c r="I270" s="3" t="s">
        <v>205</v>
      </c>
      <c r="J270" s="6">
        <v>1.45</v>
      </c>
      <c r="K270" s="4" t="s">
        <v>34</v>
      </c>
      <c r="L270" s="9">
        <f>J270/225*1000</f>
        <v>6.444444444</v>
      </c>
      <c r="M270" s="4" t="s">
        <v>35</v>
      </c>
      <c r="O270" s="9"/>
      <c r="P270" s="10">
        <f t="shared" si="206"/>
        <v>46145</v>
      </c>
      <c r="Q270" s="3" t="s">
        <v>28</v>
      </c>
    </row>
    <row r="271" ht="22.5" customHeight="1">
      <c r="A271" s="3" t="s">
        <v>114</v>
      </c>
      <c r="B271" s="4" t="s">
        <v>246</v>
      </c>
      <c r="C271" s="4" t="s">
        <v>119</v>
      </c>
      <c r="D271" s="4" t="s">
        <v>247</v>
      </c>
      <c r="E271" s="3" t="s">
        <v>22</v>
      </c>
      <c r="F271" s="3" t="s">
        <v>23</v>
      </c>
      <c r="G271" s="5"/>
      <c r="H271" s="3" t="s">
        <v>104</v>
      </c>
      <c r="I271" s="3" t="s">
        <v>205</v>
      </c>
      <c r="J271" s="6">
        <v>1.0</v>
      </c>
      <c r="K271" s="4" t="s">
        <v>34</v>
      </c>
      <c r="L271" s="9">
        <f t="shared" ref="L271:L272" si="208">J271/100*1000</f>
        <v>10</v>
      </c>
      <c r="M271" s="4" t="s">
        <v>35</v>
      </c>
      <c r="O271" s="9"/>
      <c r="P271" s="10">
        <f t="shared" si="206"/>
        <v>46145</v>
      </c>
      <c r="Q271" s="3" t="s">
        <v>28</v>
      </c>
    </row>
    <row r="272" ht="22.5" customHeight="1">
      <c r="A272" s="3" t="s">
        <v>117</v>
      </c>
      <c r="B272" s="4" t="s">
        <v>118</v>
      </c>
      <c r="C272" s="4" t="s">
        <v>119</v>
      </c>
      <c r="D272" s="12" t="str">
        <f>D271</f>
        <v>Dia Temptation</v>
      </c>
      <c r="E272" s="3" t="s">
        <v>22</v>
      </c>
      <c r="F272" s="3" t="s">
        <v>23</v>
      </c>
      <c r="G272" s="13"/>
      <c r="H272" s="14" t="str">
        <f t="shared" ref="H272:I272" si="207">H271</f>
        <v>snacks</v>
      </c>
      <c r="I272" s="14" t="str">
        <f t="shared" si="207"/>
        <v>Dia</v>
      </c>
      <c r="J272" s="6">
        <v>1.89</v>
      </c>
      <c r="K272" s="4" t="s">
        <v>34</v>
      </c>
      <c r="L272" s="9">
        <f t="shared" si="208"/>
        <v>18.9</v>
      </c>
      <c r="M272" s="4" t="s">
        <v>35</v>
      </c>
      <c r="O272" s="9"/>
      <c r="P272" s="10">
        <f t="shared" si="206"/>
        <v>46145</v>
      </c>
      <c r="Q272" s="3" t="s">
        <v>28</v>
      </c>
    </row>
    <row r="273" ht="22.5" customHeight="1">
      <c r="A273" s="3" t="s">
        <v>18</v>
      </c>
      <c r="B273" s="4" t="s">
        <v>19</v>
      </c>
      <c r="C273" s="4" t="s">
        <v>20</v>
      </c>
      <c r="D273" s="4" t="s">
        <v>248</v>
      </c>
      <c r="E273" s="3" t="s">
        <v>22</v>
      </c>
      <c r="F273" s="3" t="s">
        <v>23</v>
      </c>
      <c r="G273" s="5"/>
      <c r="H273" s="3" t="s">
        <v>24</v>
      </c>
      <c r="I273" s="3" t="s">
        <v>249</v>
      </c>
      <c r="J273" s="6">
        <v>0.96</v>
      </c>
      <c r="K273" s="4" t="s">
        <v>26</v>
      </c>
      <c r="L273" s="9">
        <f t="shared" ref="L273:L275" si="211">J273</f>
        <v>0.96</v>
      </c>
      <c r="M273" s="4" t="s">
        <v>27</v>
      </c>
      <c r="O273" s="9"/>
      <c r="P273" s="10">
        <f t="shared" si="206"/>
        <v>46145</v>
      </c>
      <c r="Q273" s="3" t="s">
        <v>28</v>
      </c>
    </row>
    <row r="274" ht="22.5" customHeight="1">
      <c r="A274" s="3" t="s">
        <v>29</v>
      </c>
      <c r="B274" s="4" t="s">
        <v>30</v>
      </c>
      <c r="C274" s="4" t="s">
        <v>20</v>
      </c>
      <c r="D274" s="12" t="str">
        <f t="shared" ref="D274:E274" si="209">D273</f>
        <v>Auchan</v>
      </c>
      <c r="E274" s="14" t="str">
        <f t="shared" si="209"/>
        <v>yes</v>
      </c>
      <c r="F274" s="3" t="s">
        <v>23</v>
      </c>
      <c r="G274" s="13"/>
      <c r="H274" s="14" t="str">
        <f t="shared" ref="H274:I274" si="210">H273</f>
        <v>dairy</v>
      </c>
      <c r="I274" s="14" t="str">
        <f t="shared" si="210"/>
        <v>Alcampo</v>
      </c>
      <c r="J274" s="6">
        <v>0.84</v>
      </c>
      <c r="K274" s="4" t="s">
        <v>26</v>
      </c>
      <c r="L274" s="9">
        <f t="shared" si="211"/>
        <v>0.84</v>
      </c>
      <c r="M274" s="4" t="s">
        <v>27</v>
      </c>
      <c r="O274" s="9"/>
      <c r="P274" s="10">
        <f t="shared" si="206"/>
        <v>46145</v>
      </c>
      <c r="Q274" s="3" t="s">
        <v>28</v>
      </c>
    </row>
    <row r="275" ht="22.5" customHeight="1">
      <c r="A275" s="3" t="s">
        <v>31</v>
      </c>
      <c r="B275" s="4" t="s">
        <v>250</v>
      </c>
      <c r="C275" s="4" t="s">
        <v>33</v>
      </c>
      <c r="D275" s="12" t="str">
        <f t="shared" ref="D275:E275" si="212">D274</f>
        <v>Auchan</v>
      </c>
      <c r="E275" s="11" t="str">
        <f t="shared" si="212"/>
        <v>yes</v>
      </c>
      <c r="F275" s="3" t="s">
        <v>23</v>
      </c>
      <c r="G275" s="13"/>
      <c r="H275" s="14" t="str">
        <f t="shared" ref="H275:I275" si="213">H274</f>
        <v>dairy</v>
      </c>
      <c r="I275" s="14" t="str">
        <f t="shared" si="213"/>
        <v>Alcampo</v>
      </c>
      <c r="J275" s="6">
        <v>2.14</v>
      </c>
      <c r="K275" s="4" t="s">
        <v>34</v>
      </c>
      <c r="L275" s="9">
        <f t="shared" si="211"/>
        <v>2.14</v>
      </c>
      <c r="M275" s="4" t="s">
        <v>35</v>
      </c>
      <c r="O275" s="9"/>
      <c r="P275" s="10">
        <f t="shared" si="206"/>
        <v>46145</v>
      </c>
      <c r="Q275" s="3" t="s">
        <v>28</v>
      </c>
    </row>
    <row r="276" ht="22.5" customHeight="1">
      <c r="A276" s="3" t="s">
        <v>36</v>
      </c>
      <c r="B276" s="4" t="s">
        <v>37</v>
      </c>
      <c r="C276" s="4" t="s">
        <v>208</v>
      </c>
      <c r="D276" s="12" t="str">
        <f t="shared" ref="D276:E276" si="214">D275</f>
        <v>Auchan</v>
      </c>
      <c r="E276" s="14" t="str">
        <f t="shared" si="214"/>
        <v>yes</v>
      </c>
      <c r="F276" s="3" t="s">
        <v>23</v>
      </c>
      <c r="G276" s="13"/>
      <c r="H276" s="14" t="str">
        <f t="shared" ref="H276:I276" si="215">H275</f>
        <v>dairy</v>
      </c>
      <c r="I276" s="14" t="str">
        <f t="shared" si="215"/>
        <v>Alcampo</v>
      </c>
      <c r="J276" s="6">
        <v>1.32</v>
      </c>
      <c r="K276" s="4" t="s">
        <v>34</v>
      </c>
      <c r="L276" s="9">
        <f>J276/(8*125)*1000</f>
        <v>1.32</v>
      </c>
      <c r="M276" s="4" t="s">
        <v>35</v>
      </c>
      <c r="O276" s="9"/>
      <c r="P276" s="10">
        <f t="shared" si="206"/>
        <v>46145</v>
      </c>
      <c r="Q276" s="3" t="s">
        <v>28</v>
      </c>
    </row>
    <row r="277" ht="22.5" customHeight="1">
      <c r="A277" s="3" t="s">
        <v>39</v>
      </c>
      <c r="B277" s="4" t="s">
        <v>251</v>
      </c>
      <c r="C277" s="4" t="s">
        <v>41</v>
      </c>
      <c r="D277" s="4" t="s">
        <v>42</v>
      </c>
      <c r="E277" s="3" t="s">
        <v>43</v>
      </c>
      <c r="F277" s="3" t="s">
        <v>23</v>
      </c>
      <c r="G277" s="13"/>
      <c r="H277" s="14" t="str">
        <f t="shared" ref="H277:I277" si="216">H276</f>
        <v>dairy</v>
      </c>
      <c r="I277" s="14" t="str">
        <f t="shared" si="216"/>
        <v>Alcampo</v>
      </c>
      <c r="J277" s="6">
        <v>1.77</v>
      </c>
      <c r="K277" s="4" t="s">
        <v>34</v>
      </c>
      <c r="L277" s="9">
        <f>J277/(8*120)*1000</f>
        <v>1.84375</v>
      </c>
      <c r="M277" s="4" t="str">
        <f>M276</f>
        <v>€/kg</v>
      </c>
      <c r="O277" s="9"/>
      <c r="P277" s="10">
        <f t="shared" si="206"/>
        <v>46145</v>
      </c>
      <c r="Q277" s="3" t="s">
        <v>28</v>
      </c>
    </row>
    <row r="278" ht="22.5" customHeight="1">
      <c r="A278" s="3" t="s">
        <v>44</v>
      </c>
      <c r="B278" s="4" t="s">
        <v>252</v>
      </c>
      <c r="C278" s="4" t="s">
        <v>49</v>
      </c>
      <c r="D278" s="12" t="str">
        <f t="shared" ref="D278:E278" si="217">D276</f>
        <v>Auchan</v>
      </c>
      <c r="E278" s="14" t="str">
        <f t="shared" si="217"/>
        <v>yes</v>
      </c>
      <c r="F278" s="3" t="s">
        <v>23</v>
      </c>
      <c r="G278" s="13"/>
      <c r="H278" s="14" t="str">
        <f t="shared" ref="H278:I278" si="218">H276</f>
        <v>dairy</v>
      </c>
      <c r="I278" s="14" t="str">
        <f t="shared" si="218"/>
        <v>Alcampo</v>
      </c>
      <c r="J278" s="6">
        <v>1.58</v>
      </c>
      <c r="K278" s="4" t="s">
        <v>34</v>
      </c>
      <c r="L278" s="9">
        <f t="shared" ref="L278:L279" si="221">J278/200*1000</f>
        <v>7.9</v>
      </c>
      <c r="M278" s="4" t="s">
        <v>35</v>
      </c>
      <c r="O278" s="9"/>
      <c r="P278" s="10">
        <f>P276</f>
        <v>46145</v>
      </c>
      <c r="Q278" s="3" t="s">
        <v>28</v>
      </c>
    </row>
    <row r="279" ht="22.5" customHeight="1">
      <c r="A279" s="3" t="s">
        <v>47</v>
      </c>
      <c r="B279" s="4" t="s">
        <v>253</v>
      </c>
      <c r="C279" s="4" t="s">
        <v>49</v>
      </c>
      <c r="D279" s="12" t="str">
        <f t="shared" ref="D279:E279" si="219">D278</f>
        <v>Auchan</v>
      </c>
      <c r="E279" s="14" t="str">
        <f t="shared" si="219"/>
        <v>yes</v>
      </c>
      <c r="F279" s="3" t="s">
        <v>23</v>
      </c>
      <c r="G279" s="13"/>
      <c r="H279" s="14" t="str">
        <f t="shared" ref="H279:I279" si="220">H278</f>
        <v>dairy</v>
      </c>
      <c r="I279" s="14" t="str">
        <f t="shared" si="220"/>
        <v>Alcampo</v>
      </c>
      <c r="J279" s="6">
        <v>1.92</v>
      </c>
      <c r="K279" s="4" t="s">
        <v>34</v>
      </c>
      <c r="L279" s="9">
        <f t="shared" si="221"/>
        <v>9.6</v>
      </c>
      <c r="M279" s="4" t="s">
        <v>35</v>
      </c>
      <c r="O279" s="9"/>
      <c r="P279" s="10">
        <f t="shared" ref="P279:P281" si="223">P278</f>
        <v>46145</v>
      </c>
      <c r="Q279" s="3" t="s">
        <v>28</v>
      </c>
    </row>
    <row r="280" ht="22.5" customHeight="1">
      <c r="A280" s="3" t="s">
        <v>50</v>
      </c>
      <c r="B280" s="4" t="s">
        <v>254</v>
      </c>
      <c r="C280" s="4" t="s">
        <v>52</v>
      </c>
      <c r="D280" s="12" t="str">
        <f t="shared" ref="D280:E280" si="222">D279</f>
        <v>Auchan</v>
      </c>
      <c r="E280" s="14" t="str">
        <f t="shared" si="222"/>
        <v>yes</v>
      </c>
      <c r="F280" s="3" t="s">
        <v>23</v>
      </c>
      <c r="G280" s="5"/>
      <c r="H280" s="3" t="s">
        <v>53</v>
      </c>
      <c r="I280" s="14" t="str">
        <f t="shared" ref="I280:I281" si="224">I279</f>
        <v>Alcampo</v>
      </c>
      <c r="J280" s="6">
        <v>1.64</v>
      </c>
      <c r="K280" s="4" t="s">
        <v>34</v>
      </c>
      <c r="L280" s="9">
        <f t="shared" ref="L280:L281" si="225">J280*2</f>
        <v>3.28</v>
      </c>
      <c r="M280" s="4" t="s">
        <v>35</v>
      </c>
      <c r="O280" s="9"/>
      <c r="P280" s="10">
        <f t="shared" si="223"/>
        <v>46145</v>
      </c>
      <c r="Q280" s="3" t="s">
        <v>28</v>
      </c>
    </row>
    <row r="281" ht="22.5" customHeight="1">
      <c r="A281" s="3" t="s">
        <v>54</v>
      </c>
      <c r="B281" s="4" t="s">
        <v>255</v>
      </c>
      <c r="C281" s="4" t="s">
        <v>52</v>
      </c>
      <c r="D281" s="4" t="s">
        <v>56</v>
      </c>
      <c r="E281" s="3" t="s">
        <v>43</v>
      </c>
      <c r="F281" s="3" t="s">
        <v>23</v>
      </c>
      <c r="G281" s="5"/>
      <c r="H281" s="3" t="s">
        <v>53</v>
      </c>
      <c r="I281" s="14" t="str">
        <f t="shared" si="224"/>
        <v>Alcampo</v>
      </c>
      <c r="J281" s="6">
        <v>2.38</v>
      </c>
      <c r="K281" s="4" t="str">
        <f>K280</f>
        <v>kg</v>
      </c>
      <c r="L281" s="9">
        <f t="shared" si="225"/>
        <v>4.76</v>
      </c>
      <c r="M281" s="4" t="str">
        <f>M280</f>
        <v>€/kg</v>
      </c>
      <c r="O281" s="9"/>
      <c r="P281" s="10">
        <f t="shared" si="223"/>
        <v>46145</v>
      </c>
      <c r="Q281" s="3" t="s">
        <v>28</v>
      </c>
    </row>
    <row r="282" ht="22.5" customHeight="1">
      <c r="A282" s="3" t="s">
        <v>57</v>
      </c>
      <c r="B282" s="4" t="s">
        <v>256</v>
      </c>
      <c r="C282" s="4" t="s">
        <v>257</v>
      </c>
      <c r="D282" s="12" t="str">
        <f t="shared" ref="D282:E282" si="226">D280</f>
        <v>Auchan</v>
      </c>
      <c r="E282" s="14" t="str">
        <f t="shared" si="226"/>
        <v>yes</v>
      </c>
      <c r="F282" s="3" t="s">
        <v>23</v>
      </c>
      <c r="G282" s="13"/>
      <c r="H282" s="14" t="str">
        <f t="shared" ref="H282:I282" si="227">H280</f>
        <v>breakfast</v>
      </c>
      <c r="I282" s="14" t="str">
        <f t="shared" si="227"/>
        <v>Alcampo</v>
      </c>
      <c r="J282" s="6">
        <v>1.75</v>
      </c>
      <c r="K282" s="4" t="s">
        <v>34</v>
      </c>
      <c r="L282" s="9">
        <f>J282/375*1000</f>
        <v>4.666666667</v>
      </c>
      <c r="M282" s="4" t="s">
        <v>35</v>
      </c>
      <c r="O282" s="9"/>
      <c r="P282" s="10">
        <f>P280</f>
        <v>46145</v>
      </c>
      <c r="Q282" s="3" t="s">
        <v>28</v>
      </c>
    </row>
    <row r="283" ht="22.5" customHeight="1">
      <c r="A283" s="3" t="s">
        <v>62</v>
      </c>
      <c r="B283" s="4" t="s">
        <v>258</v>
      </c>
      <c r="C283" s="4" t="s">
        <v>20</v>
      </c>
      <c r="D283" s="12" t="str">
        <f t="shared" ref="D283:E283" si="228">D282</f>
        <v>Auchan</v>
      </c>
      <c r="E283" s="14" t="str">
        <f t="shared" si="228"/>
        <v>yes</v>
      </c>
      <c r="F283" s="3" t="s">
        <v>23</v>
      </c>
      <c r="G283" s="13"/>
      <c r="H283" s="14" t="str">
        <f t="shared" ref="H283:I283" si="229">H282</f>
        <v>breakfast</v>
      </c>
      <c r="I283" s="14" t="str">
        <f t="shared" si="229"/>
        <v>Alcampo</v>
      </c>
      <c r="J283" s="6">
        <v>1.78</v>
      </c>
      <c r="K283" s="4" t="s">
        <v>26</v>
      </c>
      <c r="L283" s="9">
        <f>J283</f>
        <v>1.78</v>
      </c>
      <c r="M283" s="4" t="s">
        <v>27</v>
      </c>
      <c r="O283" s="9"/>
      <c r="P283" s="10">
        <f t="shared" ref="P283:P300" si="232">P282</f>
        <v>46145</v>
      </c>
      <c r="Q283" s="3" t="s">
        <v>28</v>
      </c>
    </row>
    <row r="284" ht="22.5" customHeight="1">
      <c r="A284" s="3" t="s">
        <v>64</v>
      </c>
      <c r="B284" s="4" t="s">
        <v>259</v>
      </c>
      <c r="C284" s="4" t="s">
        <v>66</v>
      </c>
      <c r="D284" s="12" t="str">
        <f t="shared" ref="D284:E284" si="230">D283</f>
        <v>Auchan</v>
      </c>
      <c r="E284" s="14" t="str">
        <f t="shared" si="230"/>
        <v>yes</v>
      </c>
      <c r="F284" s="3" t="s">
        <v>23</v>
      </c>
      <c r="G284" s="13"/>
      <c r="H284" s="14" t="str">
        <f t="shared" ref="H284:I284" si="231">H283</f>
        <v>breakfast</v>
      </c>
      <c r="I284" s="14" t="str">
        <f t="shared" si="231"/>
        <v>Alcampo</v>
      </c>
      <c r="J284" s="6">
        <v>2.48</v>
      </c>
      <c r="K284" s="4" t="s">
        <v>34</v>
      </c>
      <c r="L284" s="9">
        <f>J284/250*1000</f>
        <v>9.92</v>
      </c>
      <c r="M284" s="4" t="s">
        <v>35</v>
      </c>
      <c r="O284" s="9"/>
      <c r="P284" s="10">
        <f t="shared" si="232"/>
        <v>46145</v>
      </c>
      <c r="Q284" s="3" t="s">
        <v>28</v>
      </c>
    </row>
    <row r="285" ht="22.5" customHeight="1">
      <c r="A285" s="3" t="s">
        <v>67</v>
      </c>
      <c r="B285" s="4" t="s">
        <v>260</v>
      </c>
      <c r="C285" s="4" t="s">
        <v>69</v>
      </c>
      <c r="D285" s="12" t="str">
        <f t="shared" ref="D285:E285" si="233">D284</f>
        <v>Auchan</v>
      </c>
      <c r="E285" s="14" t="str">
        <f t="shared" si="233"/>
        <v>yes</v>
      </c>
      <c r="F285" s="3" t="s">
        <v>23</v>
      </c>
      <c r="G285" s="13"/>
      <c r="H285" s="14" t="str">
        <f t="shared" ref="H285:I285" si="234">H284</f>
        <v>breakfast</v>
      </c>
      <c r="I285" s="14" t="str">
        <f t="shared" si="234"/>
        <v>Alcampo</v>
      </c>
      <c r="J285" s="6">
        <v>3.54</v>
      </c>
      <c r="K285" s="4" t="s">
        <v>10</v>
      </c>
      <c r="L285" s="9">
        <f>J285/16</f>
        <v>0.22125</v>
      </c>
      <c r="M285" s="4" t="s">
        <v>70</v>
      </c>
      <c r="O285" s="9"/>
      <c r="P285" s="10">
        <f t="shared" si="232"/>
        <v>46145</v>
      </c>
      <c r="Q285" s="3" t="s">
        <v>28</v>
      </c>
    </row>
    <row r="286" ht="22.5" customHeight="1">
      <c r="A286" s="3" t="s">
        <v>71</v>
      </c>
      <c r="B286" s="4" t="s">
        <v>261</v>
      </c>
      <c r="C286" s="4" t="s">
        <v>262</v>
      </c>
      <c r="D286" s="12" t="str">
        <f t="shared" ref="D286:E286" si="235">D285</f>
        <v>Auchan</v>
      </c>
      <c r="E286" s="14" t="str">
        <f t="shared" si="235"/>
        <v>yes</v>
      </c>
      <c r="F286" s="3" t="s">
        <v>23</v>
      </c>
      <c r="G286" s="5"/>
      <c r="H286" s="3" t="s">
        <v>75</v>
      </c>
      <c r="I286" s="14" t="str">
        <f>I285</f>
        <v>Alcampo</v>
      </c>
      <c r="J286" s="6">
        <v>4.75</v>
      </c>
      <c r="K286" s="4" t="s">
        <v>10</v>
      </c>
      <c r="L286" s="9">
        <f>J286/45</f>
        <v>0.1055555556</v>
      </c>
      <c r="M286" s="4" t="s">
        <v>70</v>
      </c>
      <c r="N286" s="4">
        <v>45.0</v>
      </c>
      <c r="O286" s="9">
        <f t="shared" ref="O286:O289" si="238">J286/N286</f>
        <v>0.1055555556</v>
      </c>
      <c r="P286" s="10">
        <f t="shared" si="232"/>
        <v>46145</v>
      </c>
      <c r="Q286" s="3" t="s">
        <v>28</v>
      </c>
    </row>
    <row r="287" ht="22.5" customHeight="1">
      <c r="A287" s="3" t="s">
        <v>79</v>
      </c>
      <c r="B287" s="4" t="s">
        <v>263</v>
      </c>
      <c r="C287" s="4" t="s">
        <v>81</v>
      </c>
      <c r="D287" s="12" t="str">
        <f t="shared" ref="D287:E287" si="236">D286</f>
        <v>Auchan</v>
      </c>
      <c r="E287" s="14" t="str">
        <f t="shared" si="236"/>
        <v>yes</v>
      </c>
      <c r="F287" s="3" t="s">
        <v>23</v>
      </c>
      <c r="G287" s="13"/>
      <c r="H287" s="14" t="str">
        <f t="shared" ref="H287:I287" si="237">H286</f>
        <v>cleaning</v>
      </c>
      <c r="I287" s="14" t="str">
        <f t="shared" si="237"/>
        <v>Alcampo</v>
      </c>
      <c r="J287" s="6">
        <v>3.42</v>
      </c>
      <c r="K287" s="4" t="s">
        <v>26</v>
      </c>
      <c r="L287" s="9">
        <f>J287/720*1000</f>
        <v>4.75</v>
      </c>
      <c r="M287" s="4" t="s">
        <v>27</v>
      </c>
      <c r="N287" s="4">
        <v>36.0</v>
      </c>
      <c r="O287" s="9">
        <f t="shared" si="238"/>
        <v>0.095</v>
      </c>
      <c r="P287" s="10">
        <f t="shared" si="232"/>
        <v>46145</v>
      </c>
      <c r="Q287" s="3" t="s">
        <v>28</v>
      </c>
    </row>
    <row r="288" ht="22.5" customHeight="1">
      <c r="A288" s="3" t="s">
        <v>82</v>
      </c>
      <c r="B288" s="4" t="s">
        <v>264</v>
      </c>
      <c r="C288" s="4" t="s">
        <v>265</v>
      </c>
      <c r="D288" s="12" t="str">
        <f t="shared" ref="D288:E288" si="239">D287</f>
        <v>Auchan</v>
      </c>
      <c r="E288" s="14" t="str">
        <f t="shared" si="239"/>
        <v>yes</v>
      </c>
      <c r="F288" s="3" t="s">
        <v>23</v>
      </c>
      <c r="G288" s="13"/>
      <c r="H288" s="14" t="str">
        <f t="shared" ref="H288:I288" si="240">H287</f>
        <v>cleaning</v>
      </c>
      <c r="I288" s="14" t="str">
        <f t="shared" si="240"/>
        <v>Alcampo</v>
      </c>
      <c r="J288" s="6">
        <v>3.97</v>
      </c>
      <c r="K288" s="4" t="s">
        <v>26</v>
      </c>
      <c r="L288" s="9">
        <f>J288/2.97</f>
        <v>1.336700337</v>
      </c>
      <c r="M288" s="4" t="s">
        <v>27</v>
      </c>
      <c r="N288" s="4">
        <v>55.0</v>
      </c>
      <c r="O288" s="9">
        <f t="shared" si="238"/>
        <v>0.07218181818</v>
      </c>
      <c r="P288" s="10">
        <f t="shared" si="232"/>
        <v>46145</v>
      </c>
      <c r="Q288" s="3" t="s">
        <v>28</v>
      </c>
    </row>
    <row r="289" ht="22.5" customHeight="1">
      <c r="A289" s="3" t="s">
        <v>85</v>
      </c>
      <c r="B289" s="4" t="s">
        <v>266</v>
      </c>
      <c r="C289" s="4" t="s">
        <v>73</v>
      </c>
      <c r="D289" s="12" t="str">
        <f t="shared" ref="D289:E289" si="241">D288</f>
        <v>Auchan</v>
      </c>
      <c r="E289" s="14" t="str">
        <f t="shared" si="241"/>
        <v>yes</v>
      </c>
      <c r="F289" s="3" t="s">
        <v>23</v>
      </c>
      <c r="G289" s="13"/>
      <c r="H289" s="14" t="str">
        <f t="shared" ref="H289:I289" si="242">H288</f>
        <v>cleaning</v>
      </c>
      <c r="I289" s="14" t="str">
        <f t="shared" si="242"/>
        <v>Alcampo</v>
      </c>
      <c r="J289" s="6">
        <v>5.5</v>
      </c>
      <c r="K289" s="4" t="s">
        <v>10</v>
      </c>
      <c r="L289" s="9">
        <f>J289/30</f>
        <v>0.1833333333</v>
      </c>
      <c r="M289" s="4" t="s">
        <v>70</v>
      </c>
      <c r="N289" s="4">
        <v>30.0</v>
      </c>
      <c r="O289" s="9">
        <f t="shared" si="238"/>
        <v>0.1833333333</v>
      </c>
      <c r="P289" s="10">
        <f t="shared" si="232"/>
        <v>46145</v>
      </c>
      <c r="Q289" s="3" t="s">
        <v>28</v>
      </c>
    </row>
    <row r="290" ht="22.5" customHeight="1">
      <c r="A290" s="3" t="s">
        <v>88</v>
      </c>
      <c r="B290" s="4" t="s">
        <v>267</v>
      </c>
      <c r="C290" s="4" t="s">
        <v>90</v>
      </c>
      <c r="D290" s="4" t="s">
        <v>248</v>
      </c>
      <c r="E290" s="14" t="str">
        <f>E289</f>
        <v>yes</v>
      </c>
      <c r="F290" s="3" t="s">
        <v>23</v>
      </c>
      <c r="G290" s="5"/>
      <c r="H290" s="3" t="s">
        <v>91</v>
      </c>
      <c r="I290" s="14" t="str">
        <f>I289</f>
        <v>Alcampo</v>
      </c>
      <c r="J290" s="6">
        <v>2.59</v>
      </c>
      <c r="K290" s="4" t="s">
        <v>10</v>
      </c>
      <c r="L290" s="9">
        <f t="shared" ref="L290:L291" si="245">J290/12</f>
        <v>0.2158333333</v>
      </c>
      <c r="M290" s="4" t="s">
        <v>70</v>
      </c>
      <c r="O290" s="9"/>
      <c r="P290" s="10">
        <f t="shared" si="232"/>
        <v>46145</v>
      </c>
      <c r="Q290" s="3" t="s">
        <v>28</v>
      </c>
    </row>
    <row r="291" ht="22.5" customHeight="1">
      <c r="A291" s="3" t="s">
        <v>92</v>
      </c>
      <c r="B291" s="4" t="s">
        <v>268</v>
      </c>
      <c r="C291" s="4" t="s">
        <v>90</v>
      </c>
      <c r="D291" s="4" t="str">
        <f t="shared" ref="D291:E291" si="243">D290</f>
        <v>Auchan</v>
      </c>
      <c r="E291" s="14" t="str">
        <f t="shared" si="243"/>
        <v>yes</v>
      </c>
      <c r="F291" s="3" t="s">
        <v>23</v>
      </c>
      <c r="G291" s="5"/>
      <c r="H291" s="11" t="str">
        <f t="shared" ref="H291:I291" si="244">H290</f>
        <v>fresh produce</v>
      </c>
      <c r="I291" s="14" t="str">
        <f t="shared" si="244"/>
        <v>Alcampo</v>
      </c>
      <c r="J291" s="6">
        <v>2.27</v>
      </c>
      <c r="K291" s="4" t="s">
        <v>10</v>
      </c>
      <c r="L291" s="9">
        <f t="shared" si="245"/>
        <v>0.1891666667</v>
      </c>
      <c r="M291" s="4" t="s">
        <v>70</v>
      </c>
      <c r="O291" s="9"/>
      <c r="P291" s="10">
        <f t="shared" si="232"/>
        <v>46145</v>
      </c>
      <c r="Q291" s="3" t="s">
        <v>28</v>
      </c>
    </row>
    <row r="292" ht="22.5" customHeight="1">
      <c r="A292" s="3" t="s">
        <v>96</v>
      </c>
      <c r="B292" s="4" t="s">
        <v>270</v>
      </c>
      <c r="C292" s="4" t="s">
        <v>46</v>
      </c>
      <c r="D292" s="12" t="str">
        <f t="shared" ref="D292:E292" si="246">D291</f>
        <v>Auchan</v>
      </c>
      <c r="E292" s="14" t="str">
        <f t="shared" si="246"/>
        <v>yes</v>
      </c>
      <c r="F292" s="3" t="s">
        <v>23</v>
      </c>
      <c r="G292" s="13"/>
      <c r="H292" s="14" t="str">
        <f t="shared" ref="H292:I292" si="247">H291</f>
        <v>fresh produce</v>
      </c>
      <c r="I292" s="14" t="str">
        <f t="shared" si="247"/>
        <v>Alcampo</v>
      </c>
      <c r="J292" s="6">
        <v>2.4</v>
      </c>
      <c r="K292" s="4" t="s">
        <v>34</v>
      </c>
      <c r="L292" s="9">
        <f>J292/300*1000</f>
        <v>8</v>
      </c>
      <c r="M292" s="4" t="s">
        <v>35</v>
      </c>
      <c r="O292" s="9"/>
      <c r="P292" s="10">
        <f t="shared" si="232"/>
        <v>46145</v>
      </c>
      <c r="Q292" s="3" t="s">
        <v>28</v>
      </c>
    </row>
    <row r="293" ht="22.5" customHeight="1">
      <c r="A293" s="3" t="s">
        <v>99</v>
      </c>
      <c r="B293" s="4" t="s">
        <v>100</v>
      </c>
      <c r="C293" s="4" t="s">
        <v>33</v>
      </c>
      <c r="D293" s="4" t="s">
        <v>101</v>
      </c>
      <c r="E293" s="3" t="s">
        <v>43</v>
      </c>
      <c r="F293" s="3" t="s">
        <v>23</v>
      </c>
      <c r="G293" s="13"/>
      <c r="H293" s="14" t="str">
        <f t="shared" ref="H293:I293" si="248">H292</f>
        <v>fresh produce</v>
      </c>
      <c r="I293" s="14" t="str">
        <f t="shared" si="248"/>
        <v>Alcampo</v>
      </c>
      <c r="J293" s="6">
        <v>1.48</v>
      </c>
      <c r="K293" s="4" t="s">
        <v>34</v>
      </c>
      <c r="L293" s="9">
        <f>J293</f>
        <v>1.48</v>
      </c>
      <c r="M293" s="4" t="s">
        <v>35</v>
      </c>
      <c r="O293" s="9"/>
      <c r="P293" s="10">
        <f t="shared" si="232"/>
        <v>46145</v>
      </c>
      <c r="Q293" s="3" t="s">
        <v>28</v>
      </c>
    </row>
    <row r="294" ht="22.5" customHeight="1">
      <c r="A294" s="3" t="s">
        <v>102</v>
      </c>
      <c r="B294" s="4" t="s">
        <v>271</v>
      </c>
      <c r="C294" s="4" t="s">
        <v>46</v>
      </c>
      <c r="D294" s="4" t="s">
        <v>272</v>
      </c>
      <c r="E294" s="3" t="s">
        <v>43</v>
      </c>
      <c r="F294" s="3" t="s">
        <v>23</v>
      </c>
      <c r="G294" s="5"/>
      <c r="H294" s="3" t="s">
        <v>104</v>
      </c>
      <c r="I294" s="3" t="s">
        <v>249</v>
      </c>
      <c r="J294" s="6">
        <v>1.39</v>
      </c>
      <c r="K294" s="4" t="s">
        <v>34</v>
      </c>
      <c r="L294" s="9">
        <f>J294/300*1000</f>
        <v>4.633333333</v>
      </c>
      <c r="M294" s="4" t="s">
        <v>35</v>
      </c>
      <c r="O294" s="9"/>
      <c r="P294" s="10">
        <f t="shared" si="232"/>
        <v>46145</v>
      </c>
      <c r="Q294" s="3" t="s">
        <v>28</v>
      </c>
    </row>
    <row r="295" ht="22.5" customHeight="1">
      <c r="A295" s="3" t="s">
        <v>160</v>
      </c>
      <c r="B295" s="4" t="s">
        <v>273</v>
      </c>
      <c r="C295" s="4" t="s">
        <v>162</v>
      </c>
      <c r="D295" s="4" t="s">
        <v>163</v>
      </c>
      <c r="E295" s="3" t="s">
        <v>43</v>
      </c>
      <c r="F295" s="3" t="s">
        <v>23</v>
      </c>
      <c r="G295" s="5"/>
      <c r="H295" s="3" t="s">
        <v>104</v>
      </c>
      <c r="I295" s="3" t="s">
        <v>249</v>
      </c>
      <c r="J295" s="6">
        <v>2.65</v>
      </c>
      <c r="K295" s="4" t="str">
        <f>K294</f>
        <v>kg</v>
      </c>
      <c r="L295" s="9">
        <f>J295/248*1000</f>
        <v>10.68548387</v>
      </c>
      <c r="M295" s="4" t="str">
        <f>M294</f>
        <v>€/kg</v>
      </c>
      <c r="O295" s="9"/>
      <c r="P295" s="10">
        <f t="shared" si="232"/>
        <v>46145</v>
      </c>
      <c r="Q295" s="3" t="s">
        <v>28</v>
      </c>
    </row>
    <row r="296" ht="22.5" customHeight="1">
      <c r="A296" s="3" t="s">
        <v>105</v>
      </c>
      <c r="B296" s="4" t="s">
        <v>274</v>
      </c>
      <c r="C296" s="4" t="s">
        <v>275</v>
      </c>
      <c r="D296" s="4" t="s">
        <v>248</v>
      </c>
      <c r="E296" s="3" t="s">
        <v>22</v>
      </c>
      <c r="F296" s="3" t="s">
        <v>23</v>
      </c>
      <c r="G296" s="5"/>
      <c r="H296" s="3" t="s">
        <v>104</v>
      </c>
      <c r="I296" s="3" t="s">
        <v>249</v>
      </c>
      <c r="J296" s="6">
        <v>1.01</v>
      </c>
      <c r="K296" s="4" t="s">
        <v>34</v>
      </c>
      <c r="L296" s="9">
        <f>J296/160*1000</f>
        <v>6.3125</v>
      </c>
      <c r="M296" s="4" t="s">
        <v>35</v>
      </c>
      <c r="O296" s="9"/>
      <c r="P296" s="10">
        <f t="shared" si="232"/>
        <v>46145</v>
      </c>
      <c r="Q296" s="3" t="s">
        <v>28</v>
      </c>
    </row>
    <row r="297" ht="22.5" customHeight="1">
      <c r="A297" s="3" t="s">
        <v>108</v>
      </c>
      <c r="B297" s="4" t="s">
        <v>276</v>
      </c>
      <c r="C297" s="4" t="s">
        <v>110</v>
      </c>
      <c r="D297" s="12" t="str">
        <f t="shared" ref="D297:E297" si="249">D296</f>
        <v>Auchan</v>
      </c>
      <c r="E297" s="14" t="str">
        <f t="shared" si="249"/>
        <v>yes</v>
      </c>
      <c r="F297" s="3" t="s">
        <v>23</v>
      </c>
      <c r="G297" s="13"/>
      <c r="H297" s="14" t="str">
        <f t="shared" ref="H297:I297" si="250">H296</f>
        <v>snacks</v>
      </c>
      <c r="I297" s="14" t="str">
        <f t="shared" si="250"/>
        <v>Alcampo</v>
      </c>
      <c r="J297" s="6">
        <v>1.54</v>
      </c>
      <c r="K297" s="4" t="s">
        <v>34</v>
      </c>
      <c r="L297" s="9">
        <f>J297/800*1000</f>
        <v>1.925</v>
      </c>
      <c r="M297" s="4" t="s">
        <v>35</v>
      </c>
      <c r="O297" s="9"/>
      <c r="P297" s="10">
        <f t="shared" si="232"/>
        <v>46145</v>
      </c>
      <c r="Q297" s="3" t="s">
        <v>28</v>
      </c>
    </row>
    <row r="298" ht="22.5" customHeight="1">
      <c r="A298" s="3" t="s">
        <v>111</v>
      </c>
      <c r="B298" s="4" t="s">
        <v>277</v>
      </c>
      <c r="C298" s="4" t="s">
        <v>278</v>
      </c>
      <c r="D298" s="12" t="str">
        <f t="shared" ref="D298:E298" si="251">D297</f>
        <v>Auchan</v>
      </c>
      <c r="E298" s="14" t="str">
        <f t="shared" si="251"/>
        <v>yes</v>
      </c>
      <c r="F298" s="3" t="s">
        <v>23</v>
      </c>
      <c r="G298" s="13"/>
      <c r="H298" s="14" t="str">
        <f t="shared" ref="H298:I298" si="252">H297</f>
        <v>snacks</v>
      </c>
      <c r="I298" s="14" t="str">
        <f t="shared" si="252"/>
        <v>Alcampo</v>
      </c>
      <c r="J298" s="6">
        <v>1.99</v>
      </c>
      <c r="K298" s="4" t="s">
        <v>34</v>
      </c>
      <c r="L298" s="9">
        <f>J298/184*1000</f>
        <v>10.81521739</v>
      </c>
      <c r="M298" s="4" t="s">
        <v>35</v>
      </c>
      <c r="O298" s="9"/>
      <c r="P298" s="10">
        <f t="shared" si="232"/>
        <v>46145</v>
      </c>
      <c r="Q298" s="3" t="s">
        <v>28</v>
      </c>
    </row>
    <row r="299" ht="22.5" customHeight="1">
      <c r="A299" s="3" t="s">
        <v>114</v>
      </c>
      <c r="B299" s="4" t="s">
        <v>279</v>
      </c>
      <c r="C299" s="4" t="s">
        <v>107</v>
      </c>
      <c r="D299" s="12" t="str">
        <f t="shared" ref="D299:E299" si="253">D298</f>
        <v>Auchan</v>
      </c>
      <c r="E299" s="14" t="str">
        <f t="shared" si="253"/>
        <v>yes</v>
      </c>
      <c r="F299" s="3" t="s">
        <v>23</v>
      </c>
      <c r="G299" s="13"/>
      <c r="H299" s="14" t="str">
        <f t="shared" ref="H299:I299" si="254">H298</f>
        <v>snacks</v>
      </c>
      <c r="I299" s="14" t="str">
        <f t="shared" si="254"/>
        <v>Alcampo</v>
      </c>
      <c r="J299" s="6">
        <v>1.28</v>
      </c>
      <c r="K299" s="4" t="s">
        <v>34</v>
      </c>
      <c r="L299" s="9">
        <f>J299/150*1000</f>
        <v>8.533333333</v>
      </c>
      <c r="M299" s="4" t="s">
        <v>35</v>
      </c>
      <c r="O299" s="9"/>
      <c r="P299" s="10">
        <f t="shared" si="232"/>
        <v>46145</v>
      </c>
      <c r="Q299" s="3" t="s">
        <v>28</v>
      </c>
    </row>
    <row r="300" ht="22.5" customHeight="1">
      <c r="A300" s="3" t="s">
        <v>117</v>
      </c>
      <c r="B300" s="4" t="s">
        <v>280</v>
      </c>
      <c r="C300" s="4" t="s">
        <v>119</v>
      </c>
      <c r="D300" s="12" t="str">
        <f t="shared" ref="D300:E300" si="255">D299</f>
        <v>Auchan</v>
      </c>
      <c r="E300" s="14" t="str">
        <f t="shared" si="255"/>
        <v>yes</v>
      </c>
      <c r="F300" s="3" t="s">
        <v>23</v>
      </c>
      <c r="G300" s="13"/>
      <c r="H300" s="14" t="str">
        <f t="shared" ref="H300:I300" si="256">H299</f>
        <v>snacks</v>
      </c>
      <c r="I300" s="14" t="str">
        <f t="shared" si="256"/>
        <v>Alcampo</v>
      </c>
      <c r="J300" s="6">
        <v>1.74</v>
      </c>
      <c r="K300" s="4" t="s">
        <v>34</v>
      </c>
      <c r="L300" s="9">
        <f>J300/100*1000</f>
        <v>17.4</v>
      </c>
      <c r="M300" s="4" t="s">
        <v>35</v>
      </c>
      <c r="O300" s="9"/>
      <c r="P300" s="10">
        <f t="shared" si="232"/>
        <v>46145</v>
      </c>
      <c r="Q300" s="3" t="s">
        <v>28</v>
      </c>
    </row>
  </sheetData>
  <dataValidations>
    <dataValidation type="list" allowBlank="1" sqref="H2:H300">
      <formula1>"dairy,breakfast,cleaning,fresh produce,snacks"</formula1>
    </dataValidation>
    <dataValidation type="list" allowBlank="1" sqref="F2:F300">
      <formula1>"comparable,not_comparable"</formula1>
    </dataValidation>
    <dataValidation type="list" allowBlank="1" sqref="A2:A300">
      <formula1>"dairy_milk_whole_1L,dairy_milk_semi_1L,dairy_yogurt_greek_1kg,dairy_yogurt_natural_pack_125g,dairy_yogurt_natural_pack_120g_branded,dairy_cheese_sliced_approx_200g,dairy_cheese_grated_200g,breakfast_cereals_cornflakes_500g,breakfast_cereals_cornflakes_500"&amp;"g_branded,breakfast_cereals_chocolate_approx_500g,breakfast_juice_orange_not_from_concentrate_1L,breakfast_juice_orange_from_concentrate_1L,breakfast_coffee_ground_approx_250g,breakfast_coffee_capsules_with_milk_16,cleaning_dishwasher_tablets_approx_30u,c"&amp;"leaning_dishwasher_tablets_approx_30u_branded,cleaning_dishwasher_gel_approx_750ml,cleaning_laundry_liquid_approx_3L,cleaning_laundry_capsules_approx_25u,fresh_eggs_size_M_12u,fresh_eggs_size_L_12u,fresh_eggs_free_range_approx_12u,fresh_chicken_breast_app"&amp;"rox_500g,fresh_bananas_kg,snacks_crisps_salted_300g,snacks_crisps_salted_248g_branded,snacks_crisps_ham_approx_150g,snacks_biscuits_digestive_approx_400_800g,snacks_biscuits_cookies_approx_200g,snacks_chocolate_milk_approx_100g,snacks_chocolate_dark_85_10"&amp;"0g"</formula1>
    </dataValidation>
    <dataValidation type="list" allowBlank="1" sqref="E2:E300">
      <formula1>"yes,no"</formula1>
    </dataValidation>
    <dataValidation type="list" allowBlank="1" sqref="I2:I300">
      <formula1>"Mercadona,Consum,Carrefour,Dia,Alcampo"</formula1>
    </dataValidation>
    <dataValidation type="custom" allowBlank="1" showDropDown="1" sqref="J2:J300 L2:L300 O2:O300">
      <formula1>AND(ISNUMBER(J2),(NOT(OR(NOT(ISERROR(DATEVALUE(J2))), AND(ISNUMBER(J2), LEFT(CELL("format", J2))="D")))))</formula1>
    </dataValidation>
    <dataValidation type="list" allowBlank="1" sqref="Q2:Q300">
      <formula1>"website"</formula1>
    </dataValidation>
  </dataValidations>
  <drawing r:id="rId1"/>
  <tableParts count="1">
    <tablePart r:id="rId3"/>
  </tableParts>
</worksheet>
</file>